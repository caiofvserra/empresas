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Indicadores" sheetId="2" state="visible" r:id="rId4"/>
    <sheet name="Resumo" sheetId="3" state="visible" r:id="rId5"/>
  </sheets>
  <definedNames>
    <definedName function="false" hidden="true" localSheetId="1" name="_xlnm._FilterDatabase" vbProcedure="false">Indicadores!$A$1:$K$79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<sst xmlns="http://schemas.openxmlformats.org/spreadsheetml/2006/main" count="765" uniqueCount="465">
  <si>
    <t xml:space="preserve">Catálogo de indicadores previstos · painel de empresas CREA-SP (V18)</t>
  </si>
  <si>
    <t xml:space="preserve">Para revisar: preencha as colunas amarelas da aba Indicadores. Decisão = Manter, Ajustar ou Cortar (lista suspensa); Comentário = texto livre. A aba Resumo conta sozinha.</t>
  </si>
  <si>
    <t xml:space="preserve">Exemplo de preenchimento: Decisão "Ajustar" · Comentário "Trocar a rosca por barras e mostrar só empresas ativas".</t>
  </si>
  <si>
    <t xml:space="preserve">Como ler</t>
  </si>
  <si>
    <t xml:space="preserve">• Prioridade:</t>
  </si>
  <si>
    <t xml:space="preserve">• E = essencial;</t>
  </si>
  <si>
    <t xml:space="preserve">• I = importante;</t>
  </si>
  <si>
    <t xml:space="preserve">• C = complementar (candidato a corte).</t>
  </si>
  <si>
    <t xml:space="preserve">• Fonte: primeiro, a fonte em produção; depois do "·", o dado usado no protótipo:</t>
  </si>
  <si>
    <t xml:space="preserve">• real: dado público versionado;</t>
  </si>
  <si>
    <t xml:space="preserve">• demo: cenário demonstrativo;</t>
  </si>
  <si>
    <t xml:space="preserve">• demo derivado: fato gerado a partir do cenário, como ações e autos.</t>
  </si>
  <si>
    <t xml:space="preserve">• Filtros de todas as abas: regional (GRE), câmara especializada (pela atividade principal) e período (3, 6 ou 12 meses).</t>
  </si>
  <si>
    <t xml:space="preserve">• A comparação é sempre com a mesma janela um ano antes.</t>
  </si>
  <si>
    <t xml:space="preserve">• Atendimento e estrutura não usam o filtro de câmara.</t>
  </si>
  <si>
    <t xml:space="preserve">• Dados públicos são estaduais ou nacionais.</t>
  </si>
  <si>
    <t xml:space="preserve">• Unidades: empresa = CNPJ raiz; estabelecimento = CNPJ completo. A GRE da empresa é a GRE da matriz.</t>
  </si>
  <si>
    <t xml:space="preserve">• Mapa: o território de cada GRE é pintado pelos seus municípios (malha IBGE de 645 municípios). Não há bolhas.</t>
  </si>
  <si>
    <t xml:space="preserve">• Clique: todo número, barra ou regional abre um painel lateral com:</t>
  </si>
  <si>
    <t xml:space="preserve">• definição;</t>
  </si>
  <si>
    <t xml:space="preserve">• como agir;</t>
  </si>
  <si>
    <t xml:space="preserve">• lista de empresas com busca, ficha e cópia para planilha.</t>
  </si>
  <si>
    <t xml:space="preserve">• Metas: parâmetros ajustáveis no painel, não oficiais. Cobertura 65%, adimplência 60%, recuperação 30%, regularização 50%, atendimento no prazo 80%.</t>
  </si>
  <si>
    <t xml:space="preserve">Fora do painel (já decidido)</t>
  </si>
  <si>
    <t xml:space="preserve">• Previsão ou projeção da base.</t>
  </si>
  <si>
    <t xml:space="preserve">• Fila de fiscalizações em aberto (estoque de processos).</t>
  </si>
  <si>
    <t xml:space="preserve">• Bolhas sobre o mapa.</t>
  </si>
  <si>
    <t xml:space="preserve">• Títulos numerados de etapas ("1 · Detectar…").</t>
  </si>
  <si>
    <t xml:space="preserve">• Score composto de prioridade.</t>
  </si>
  <si>
    <t xml:space="preserve">A confirmar com as áreas</t>
  </si>
  <si>
    <t xml:space="preserve">• Tabela oficial município → GRE e correspondência CNAE → câmara; hoje ambas são demonstrativas.</t>
  </si>
  <si>
    <t xml:space="preserve">• Prazo de referência do atendimento; 14 dias é ilustrativo.</t>
  </si>
  <si>
    <t xml:space="preserve">• Acesso à RAIS identificada ou ao eSocial (acordo com o MTE) e ao QSA completo, para MF-04 a MF-07.</t>
  </si>
  <si>
    <t xml:space="preserve">• Leitura do piso a adotar no MF-05: valor exigível congelado pelo STF ou leitura Confea.</t>
  </si>
  <si>
    <t xml:space="preserve">• Limite normativo vigente de empresas por responsável técnico (RT-04).</t>
  </si>
  <si>
    <t xml:space="preserve">Aba</t>
  </si>
  <si>
    <t xml:space="preserve">ID</t>
  </si>
  <si>
    <t xml:space="preserve">Indicador</t>
  </si>
  <si>
    <t xml:space="preserve">Cálculo</t>
  </si>
  <si>
    <t xml:space="preserve">Objetivo</t>
  </si>
  <si>
    <t xml:space="preserve">Fonte em produção</t>
  </si>
  <si>
    <t xml:space="preserve">Dado no protótipo</t>
  </si>
  <si>
    <t xml:space="preserve">Forma gráfica</t>
  </si>
  <si>
    <t xml:space="preserve">Prioridade</t>
  </si>
  <si>
    <t xml:space="preserve">Decisão</t>
  </si>
  <si>
    <t xml:space="preserve">Comentário</t>
  </si>
  <si>
    <t xml:space="preserve">Visão geral</t>
  </si>
  <si>
    <t xml:space="preserve">VG-01</t>
  </si>
  <si>
    <t xml:space="preserve">Empresas registradas</t>
  </si>
  <si>
    <t xml:space="preserve">Empresas com registro ativo no corte; variação sobre o início do período</t>
  </si>
  <si>
    <t xml:space="preserve">Tamanho e evolução da base</t>
  </si>
  <si>
    <t xml:space="preserve">Cadastro PJ</t>
  </si>
  <si>
    <t xml:space="preserve">demo</t>
  </si>
  <si>
    <t xml:space="preserve">Cartão + sparkline 24 meses</t>
  </si>
  <si>
    <t xml:space="preserve">Essencial</t>
  </si>
  <si>
    <t xml:space="preserve">VG-02</t>
  </si>
  <si>
    <t xml:space="preserve">Cobertura do mercado</t>
  </si>
  <si>
    <t xml:space="preserve">CNPJs ativos na Receita com CNAE de engenharia e registro ativo ÷ total desses CNPJs</t>
  </si>
  <si>
    <t xml:space="preserve">Quanto do mercado formal está registrado</t>
  </si>
  <si>
    <t xml:space="preserve">Receita (CNPJ) × cadastro</t>
  </si>
  <si>
    <t xml:space="preserve">Cartão + barra de meta</t>
  </si>
  <si>
    <t xml:space="preserve">VG-03</t>
  </si>
  <si>
    <t xml:space="preserve">Autos de infração lavrados</t>
  </si>
  <si>
    <t xml:space="preserve">Autos no período; variação anual; ações fiscalizatórias e regularizações no subtítulo</t>
  </si>
  <si>
    <t xml:space="preserve">Intensidade da fiscalização</t>
  </si>
  <si>
    <t xml:space="preserve">Sistema de fiscalização</t>
  </si>
  <si>
    <t xml:space="preserve">demo derivado</t>
  </si>
  <si>
    <t xml:space="preserve">Cartão + sparkline</t>
  </si>
  <si>
    <t xml:space="preserve">VG-04</t>
  </si>
  <si>
    <t xml:space="preserve">Arrecadação de empresas</t>
  </si>
  <si>
    <t xml:space="preserve">Anuidades + multas recebidas no período; variação anual</t>
  </si>
  <si>
    <t xml:space="preserve">Receita vinda de pessoa jurídica</t>
  </si>
  <si>
    <t xml:space="preserve">Financeiro</t>
  </si>
  <si>
    <t xml:space="preserve">VG-05</t>
  </si>
  <si>
    <t xml:space="preserve">Saldo vencido de empresas</t>
  </si>
  <si>
    <t xml:space="preserve">Valor vencido e não pago no corte; % de empresas inadimplentes</t>
  </si>
  <si>
    <t xml:space="preserve">Risco de receita e tamanho da cobrança</t>
  </si>
  <si>
    <t xml:space="preserve">VG-06</t>
  </si>
  <si>
    <t xml:space="preserve">ARTs de empresas</t>
  </si>
  <si>
    <t xml:space="preserve">ARTs registradas no período; variação anual; % de empresas com RT</t>
  </si>
  <si>
    <t xml:space="preserve">Atividade técnica declarada</t>
  </si>
  <si>
    <t xml:space="preserve">Sistema de ART</t>
  </si>
  <si>
    <t xml:space="preserve">Importante</t>
  </si>
  <si>
    <t xml:space="preserve">VG-07</t>
  </si>
  <si>
    <t xml:space="preserve">Empresas com indício de irregularidade</t>
  </si>
  <si>
    <t xml:space="preserve">Empresas com ao menos um indício da aba Malha fina; % já com ação fiscal</t>
  </si>
  <si>
    <t xml:space="preserve">Tamanho do problema conhecido por cruzamento de bases</t>
  </si>
  <si>
    <t xml:space="preserve">Aba 4</t>
  </si>
  <si>
    <t xml:space="preserve">Cartão + barra segmentada</t>
  </si>
  <si>
    <t xml:space="preserve">VG-08</t>
  </si>
  <si>
    <t xml:space="preserve">Atendimento no prazo</t>
  </si>
  <si>
    <t xml:space="preserve">Solicitações resolvidas em até 14 dias ÷ (resolvidas + abertas com prazo vencido)</t>
  </si>
  <si>
    <t xml:space="preserve">Qualidade do serviço</t>
  </si>
  <si>
    <t xml:space="preserve">Atendimento</t>
  </si>
  <si>
    <t xml:space="preserve">VG-09</t>
  </si>
  <si>
    <t xml:space="preserve">Mapa das regionais</t>
  </si>
  <si>
    <t xml:space="preserve">Indicador escolhido por GRE: empresas, cobertura, sem registro, autos, arrecadação, inadimplência, ARTs, indícios, empregos técnicos</t>
  </si>
  <si>
    <t xml:space="preserve">Onde cada assunto está melhor ou pior</t>
  </si>
  <si>
    <t xml:space="preserve">Várias</t>
  </si>
  <si>
    <t xml:space="preserve">Coroplético por GRE (municípios) + ranking ao lado</t>
  </si>
  <si>
    <t xml:space="preserve">VG-10</t>
  </si>
  <si>
    <t xml:space="preserve">Quadro das regionais</t>
  </si>
  <si>
    <t xml:space="preserve">Por GRE: empresas, tendência 24 meses, variação, cobertura, sem registro, autos, % regularizado, arrecadação, inadimplência</t>
  </si>
  <si>
    <t xml:space="preserve">Comparar regionais lado a lado</t>
  </si>
  <si>
    <t xml:space="preserve">Tabela com barras, sparkline, setas vs. meta e cor por intensidade</t>
  </si>
  <si>
    <t xml:space="preserve">VG-11</t>
  </si>
  <si>
    <t xml:space="preserve">Leitura do período</t>
  </si>
  <si>
    <t xml:space="preserve">Frases geradas com as maiores variações e destaques de cada assunto</t>
  </si>
  <si>
    <t xml:space="preserve">Resumo pronto para reunião</t>
  </si>
  <si>
    <t xml:space="preserve">Calculado</t>
  </si>
  <si>
    <t xml:space="preserve">Lista de destaques + faixa rolante no topo</t>
  </si>
  <si>
    <t xml:space="preserve">Cadastro</t>
  </si>
  <si>
    <t xml:space="preserve">CAD-01</t>
  </si>
  <si>
    <t xml:space="preserve">Situação do registro</t>
  </si>
  <si>
    <t xml:space="preserve">Empresas do universo de engenharia: ativa, inativa (já registrada), nunca registrada; à parte, vistos de outro CREA</t>
  </si>
  <si>
    <t xml:space="preserve">Retrato da base, como no painel de profissionais</t>
  </si>
  <si>
    <t xml:space="preserve">Cadastro × Receita</t>
  </si>
  <si>
    <t xml:space="preserve">Rosca</t>
  </si>
  <si>
    <t xml:space="preserve">CAD-02</t>
  </si>
  <si>
    <t xml:space="preserve">Situação de pagamento</t>
  </si>
  <si>
    <t xml:space="preserve">Empresas ativas em dia × inadimplentes</t>
  </si>
  <si>
    <t xml:space="preserve">Saúde financeira da base</t>
  </si>
  <si>
    <t xml:space="preserve">CAD-03</t>
  </si>
  <si>
    <t xml:space="preserve">Empresas por câmara e porte</t>
  </si>
  <si>
    <t xml:space="preserve">Empresas ativas por câmara e por porte (Receita)</t>
  </si>
  <si>
    <t xml:space="preserve">Composição da base</t>
  </si>
  <si>
    <t xml:space="preserve">Barras empilhadas</t>
  </si>
  <si>
    <t xml:space="preserve">CAD-04</t>
  </si>
  <si>
    <t xml:space="preserve">Mercado por câmara</t>
  </si>
  <si>
    <t xml:space="preserve">CNPJs de engenharia ativos por câmara, em 4 situações: registrado em dia; registrado inadimplente; sem registro, com ação; sem registro, sem ação</t>
  </si>
  <si>
    <t xml:space="preserve">Onde está o mercado fora do CREA</t>
  </si>
  <si>
    <t xml:space="preserve">Receita × cadastro × fiscalização</t>
  </si>
  <si>
    <t xml:space="preserve">Mekko (largura = tamanho do mercado)</t>
  </si>
  <si>
    <t xml:space="preserve">CAD-05</t>
  </si>
  <si>
    <t xml:space="preserve">Entradas e saídas por mês</t>
  </si>
  <si>
    <t xml:space="preserve">Entradas (espontâneas e após fiscalização) e saídas (baixa e cancelamento) por mês; linha do estoque</t>
  </si>
  <si>
    <t xml:space="preserve">Ritmo de crescimento e de evasão</t>
  </si>
  <si>
    <t xml:space="preserve">Barras divergentes + linha, 24 meses</t>
  </si>
  <si>
    <t xml:space="preserve">CAD-06</t>
  </si>
  <si>
    <t xml:space="preserve">Ponte da base</t>
  </si>
  <si>
    <t xml:space="preserve">Abertura + espontâneas + após fiscalização + retornos − saídas = final</t>
  </si>
  <si>
    <t xml:space="preserve">Explicar a variação do período</t>
  </si>
  <si>
    <t xml:space="preserve">Cadastro × fiscalização</t>
  </si>
  <si>
    <t xml:space="preserve">Cascata</t>
  </si>
  <si>
    <t xml:space="preserve">CAD-07</t>
  </si>
  <si>
    <t xml:space="preserve">Funil de conformidade</t>
  </si>
  <si>
    <t xml:space="preserve">Universo → registro ativo → com RT → com ART no período</t>
  </si>
  <si>
    <t xml:space="preserve">Onde a conformidade se perde</t>
  </si>
  <si>
    <t xml:space="preserve">Cadastro, RT e ART</t>
  </si>
  <si>
    <t xml:space="preserve">Sankey</t>
  </si>
  <si>
    <t xml:space="preserve">CAD-08</t>
  </si>
  <si>
    <t xml:space="preserve">Prazo de concessão do registro</t>
  </si>
  <si>
    <t xml:space="preserve">Dias entre o pedido e o início do registro; mediana e P90</t>
  </si>
  <si>
    <t xml:space="preserve">Agilidade para a empresa se regularizar</t>
  </si>
  <si>
    <t xml:space="preserve">Histograma</t>
  </si>
  <si>
    <t xml:space="preserve">CAD-09</t>
  </si>
  <si>
    <t xml:space="preserve">Base por regional</t>
  </si>
  <si>
    <t xml:space="preserve">Empresas ativas por GRE, mês a mês</t>
  </si>
  <si>
    <t xml:space="preserve">Tendência regional</t>
  </si>
  <si>
    <t xml:space="preserve">Pequenos múltiplos, 24 meses</t>
  </si>
  <si>
    <t xml:space="preserve">Complementar</t>
  </si>
  <si>
    <t xml:space="preserve">Fiscalização</t>
  </si>
  <si>
    <t xml:space="preserve">FIS-01</t>
  </si>
  <si>
    <t xml:space="preserve">Ações fiscalizatórias</t>
  </si>
  <si>
    <t xml:space="preserve">Vistorias, diligências e notificações a empresas no período; variação anual; média mensal; % por origem</t>
  </si>
  <si>
    <t xml:space="preserve">Produção da fiscalização</t>
  </si>
  <si>
    <t xml:space="preserve">FIS-02</t>
  </si>
  <si>
    <t xml:space="preserve">Autos por infração: falta de registro (art. 59 da Lei 5.194/66), falta de RT (art. 6º, e), falta de ART (Lei 6.496/77); % das ações que geraram auto</t>
  </si>
  <si>
    <t xml:space="preserve">Atuação punitiva por tipo</t>
  </si>
  <si>
    <t xml:space="preserve">Idem</t>
  </si>
  <si>
    <t xml:space="preserve">Cartão + barra por tipo</t>
  </si>
  <si>
    <t xml:space="preserve">FIS-03</t>
  </si>
  <si>
    <t xml:space="preserve">Multas aplicadas</t>
  </si>
  <si>
    <t xml:space="preserve">Soma dos autos do período, por destino: paga, prazo de defesa, em julgamento, dívida ativa, cancelada</t>
  </si>
  <si>
    <t xml:space="preserve">Resultado financeiro e o que exige cobrança</t>
  </si>
  <si>
    <t xml:space="preserve">Fiscalização × financeiro</t>
  </si>
  <si>
    <t xml:space="preserve">FIS-04</t>
  </si>
  <si>
    <t xml:space="preserve">Multas recebidas</t>
  </si>
  <si>
    <t xml:space="preserve">Valor de multas pago no período</t>
  </si>
  <si>
    <t xml:space="preserve">Efetividade da cobrança das multas</t>
  </si>
  <si>
    <t xml:space="preserve">Cartão</t>
  </si>
  <si>
    <t xml:space="preserve">FIS-05</t>
  </si>
  <si>
    <t xml:space="preserve">Regularizações após ação</t>
  </si>
  <si>
    <t xml:space="preserve">Empresas que regularizaram após a ação (registro, RT, ART ou baixa); % das ações; mediana de dias; na notificação × após o auto</t>
  </si>
  <si>
    <t xml:space="preserve">Efetividade: o objetivo final é a conformidade</t>
  </si>
  <si>
    <t xml:space="preserve">Fiscalização × cadastro</t>
  </si>
  <si>
    <t xml:space="preserve">FIS-06</t>
  </si>
  <si>
    <t xml:space="preserve">Registros obtidos pela fiscalização</t>
  </si>
  <si>
    <t xml:space="preserve">Empresas que obtiveram registro após ação; % dos novos registros do período</t>
  </si>
  <si>
    <t xml:space="preserve">Quanto a fiscalização traz para a base</t>
  </si>
  <si>
    <t xml:space="preserve">FIS-07</t>
  </si>
  <si>
    <t xml:space="preserve">Caminho da ação fiscalizatória</t>
  </si>
  <si>
    <t xml:space="preserve">Ações → notificação atendida, auto lavrado ou em prazo; autos → paga, defesa, julgamento, dívida ativa ou cancelada</t>
  </si>
  <si>
    <t xml:space="preserve">Onde o processo trava</t>
  </si>
  <si>
    <t xml:space="preserve">FIS-08</t>
  </si>
  <si>
    <t xml:space="preserve">Mapa de prioridade</t>
  </si>
  <si>
    <t xml:space="preserve">Por GRE, três pares cruzados em tercis: sem registro × ações; ações × regularização; emprego técnico (RAIS) × novos registros</t>
  </si>
  <si>
    <t xml:space="preserve">Onde reforçar equipe ou mudar a abordagem</t>
  </si>
  <si>
    <t xml:space="preserve">Fiscalização × Receita × RAIS</t>
  </si>
  <si>
    <t xml:space="preserve">Mapa bivariado 3×3 por GRE + lista</t>
  </si>
  <si>
    <t xml:space="preserve">FIS-09</t>
  </si>
  <si>
    <t xml:space="preserve">Ações, autos e regularizações por mês</t>
  </si>
  <si>
    <t xml:space="preserve">Série mensal; autos por tipo</t>
  </si>
  <si>
    <t xml:space="preserve">Ritmo e sazonalidade</t>
  </si>
  <si>
    <t xml:space="preserve">Barras + empilhado + linha, 24 meses</t>
  </si>
  <si>
    <t xml:space="preserve">FIS-10</t>
  </si>
  <si>
    <t xml:space="preserve">Tempo até regularizar, por origem</t>
  </si>
  <si>
    <t xml:space="preserve">% acumulado de ações regularizadas por dias desde a ação (Kaplan-Meier), por origem: Receita, PNCP, denúncia, rotina de campo, cadastro</t>
  </si>
  <si>
    <t xml:space="preserve">Qual fonte de informação converte mais e mais rápido</t>
  </si>
  <si>
    <t xml:space="preserve">Curvas em degrau</t>
  </si>
  <si>
    <t xml:space="preserve">FIS-11</t>
  </si>
  <si>
    <t xml:space="preserve">Irregularidades tratadas</t>
  </si>
  <si>
    <t xml:space="preserve">Por tipo: regularizada após auto, regularizada na notificação, autuada sem regularizar, notificada sem regularizar, sem ação fiscal</t>
  </si>
  <si>
    <t xml:space="preserve">Quanto do problema conhecido já foi alcançado</t>
  </si>
  <si>
    <t xml:space="preserve">Barras 100%</t>
  </si>
  <si>
    <t xml:space="preserve">FIS-12</t>
  </si>
  <si>
    <t xml:space="preserve">Autos por regional e mês</t>
  </si>
  <si>
    <t xml:space="preserve">Autos por GRE nos últimos 12 meses</t>
  </si>
  <si>
    <t xml:space="preserve">Constância da atuação regional</t>
  </si>
  <si>
    <t xml:space="preserve">Mapa de calor</t>
  </si>
  <si>
    <t xml:space="preserve">Malha fina (indícios por cruzamento de bases)</t>
  </si>
  <si>
    <t xml:space="preserve">MF-01</t>
  </si>
  <si>
    <t xml:space="preserve">Empresas com indício</t>
  </si>
  <si>
    <t xml:space="preserve">Empresas com ao menos um indício abaixo; % já com ação fiscal; empresas com vários indícios</t>
  </si>
  <si>
    <t xml:space="preserve">Priorizar quem acumula indícios e ainda não teve ação</t>
  </si>
  <si>
    <t xml:space="preserve">Barras por indício com a parte já fiscalizada</t>
  </si>
  <si>
    <t xml:space="preserve">MF-02</t>
  </si>
  <si>
    <t xml:space="preserve">CNAE de engenharia sem registro</t>
  </si>
  <si>
    <t xml:space="preserve">CNPJ ativo na Receita com CNAE de engenharia e sem registro ativo (art. 59 da Lei 5.194/66)</t>
  </si>
  <si>
    <t xml:space="preserve">Base da fiscalização de registro</t>
  </si>
  <si>
    <t xml:space="preserve">Receita (dados abertos do CNPJ) × cadastro</t>
  </si>
  <si>
    <t xml:space="preserve">Barras por câmara e porte + lista</t>
  </si>
  <si>
    <t xml:space="preserve">MF-03</t>
  </si>
  <si>
    <t xml:space="preserve">Registro ativo com CNPJ inativo</t>
  </si>
  <si>
    <t xml:space="preserve">Registro ativo no CREA de CNPJ baixado, inapto ou suspenso na Receita</t>
  </si>
  <si>
    <t xml:space="preserve">Sanear o cadastro; anuidade provavelmente incobrável</t>
  </si>
  <si>
    <t xml:space="preserve">Receita × cadastro</t>
  </si>
  <si>
    <t xml:space="preserve">Cartão + barras por situação</t>
  </si>
  <si>
    <t xml:space="preserve">MF-04</t>
  </si>
  <si>
    <t xml:space="preserve">Nome de engenharia sem diretoria registrada</t>
  </si>
  <si>
    <t xml:space="preserve">Empresa com "engenharia" ou "agronomia" na razão social em que a maioria dos administradores não tem registro ativo (art. 5º da Lei 5.194/66)</t>
  </si>
  <si>
    <t xml:space="preserve">Exigir adequação do nome ou da diretoria</t>
  </si>
  <si>
    <t xml:space="preserve">QSA da Receita (nome + CPF parcial) × cadastro de profissionais</t>
  </si>
  <si>
    <t xml:space="preserve">Barra 100% (maioria ativa, metade ou menos, nenhum) + lista</t>
  </si>
  <si>
    <t xml:space="preserve">MF-05</t>
  </si>
  <si>
    <t xml:space="preserve">Engenheiro abaixo do piso</t>
  </si>
  <si>
    <t xml:space="preserve">Vínculos em CBO de engenheiro ou agrônomo com salário abaixo do piso da jornada (Lei 4.950-A/66). Piso exigível: 6 h = R$ 7.272; 8 h = R$ 10.302 (congelado pelo STF, ADPFs 53, 149 e 171, 2022). Leitura Confea: 8,5 SM = R$ 13.778,50. Conta empresas com ao menos um vínculo abaixo</t>
  </si>
  <si>
    <t xml:space="preserve">Ação de valorização: orientar a empresa e encaminhar ao MTE/MPT</t>
  </si>
  <si>
    <t xml:space="preserve">RAIS identificada ou eSocial (exige acordo com o MTE; o dado público não traz CNPJ)</t>
  </si>
  <si>
    <t xml:space="preserve">Histograma salário ÷ piso + lista de empresas</t>
  </si>
  <si>
    <t xml:space="preserve">MF-06</t>
  </si>
  <si>
    <t xml:space="preserve">Empresa sem registro que emprega engenheiros</t>
  </si>
  <si>
    <t xml:space="preserve">Empresa sem registro ativo com vínculo em CBO de engenheiro</t>
  </si>
  <si>
    <t xml:space="preserve">Forte indício de atividade de engenharia sem registro</t>
  </si>
  <si>
    <t xml:space="preserve">RAIS identificada × cadastro</t>
  </si>
  <si>
    <t xml:space="preserve">Cartão + barras por câmara</t>
  </si>
  <si>
    <t xml:space="preserve">MF-07</t>
  </si>
  <si>
    <t xml:space="preserve">Engenheiro empregado sem registro ativo</t>
  </si>
  <si>
    <t xml:space="preserve">Vínculo em CBO de engenheiro cujo CPF não tem registro ativo</t>
  </si>
  <si>
    <t xml:space="preserve">Indício de exercício ilegal</t>
  </si>
  <si>
    <t xml:space="preserve">RAIS identificada × cadastro de profissionais</t>
  </si>
  <si>
    <t xml:space="preserve">Cartão + lista</t>
  </si>
  <si>
    <t xml:space="preserve">MF-08</t>
  </si>
  <si>
    <t xml:space="preserve">Contratos públicos por situação do fornecedor</t>
  </si>
  <si>
    <t xml:space="preserve">Contratos de obras e serviços de engenharia, por situação do fornecedor na data: sem registro; registrado com anuidade vencida (não obteria a certidão de registro e quitação); sem ART em 60 dias; regular. Em valor e quantidade</t>
  </si>
  <si>
    <t xml:space="preserve">Fiscalizar contratos com prova documental e cobrar</t>
  </si>
  <si>
    <t xml:space="preserve">PNCP × cadastro × financeiro × ART</t>
  </si>
  <si>
    <t xml:space="preserve">Barras empilhadas por categoria (R$) + lista</t>
  </si>
  <si>
    <t xml:space="preserve">MF-09</t>
  </si>
  <si>
    <t xml:space="preserve">Cobertura × emprego técnico</t>
  </si>
  <si>
    <t xml:space="preserve">Por GRE: cobertura (eixo x) × variação do emprego em ocupações de engenharia (eixo y); tamanho = empresas</t>
  </si>
  <si>
    <t xml:space="preserve">Onde o mercado cresce e o registro não acompanha</t>
  </si>
  <si>
    <t xml:space="preserve">CAGED/RAIS × cadastro</t>
  </si>
  <si>
    <t xml:space="preserve">Quadrante (dispersão)</t>
  </si>
  <si>
    <t xml:space="preserve">Responsabilidade técnica, ART e certidões</t>
  </si>
  <si>
    <t xml:space="preserve">RT-01</t>
  </si>
  <si>
    <t xml:space="preserve">Empresas com RT</t>
  </si>
  <si>
    <t xml:space="preserve">Empresas ativas com responsável técnico de vínculo vigente ÷ empresas ativas</t>
  </si>
  <si>
    <t xml:space="preserve">Cumprimento do quadro técnico</t>
  </si>
  <si>
    <t xml:space="preserve">Cadastro (vínculos de RT)</t>
  </si>
  <si>
    <t xml:space="preserve">Cartão + meta; barras por GRE</t>
  </si>
  <si>
    <t xml:space="preserve">RT-02</t>
  </si>
  <si>
    <t xml:space="preserve">RT baixado sem substituto</t>
  </si>
  <si>
    <t xml:space="preserve">Empresas ativas cuja baixa de RT não teve substituto em 30 dias</t>
  </si>
  <si>
    <t xml:space="preserve">Lista para notificação</t>
  </si>
  <si>
    <t xml:space="preserve">RT-03</t>
  </si>
  <si>
    <t xml:space="preserve">Sem vínculo de RT carregado</t>
  </si>
  <si>
    <t xml:space="preserve">Empresas ativas sem nenhum vínculo de RT no cadastro</t>
  </si>
  <si>
    <t xml:space="preserve">Falha de carga a conferir</t>
  </si>
  <si>
    <t xml:space="preserve">RT-04</t>
  </si>
  <si>
    <t xml:space="preserve">Concentração de responsabilidade técnica</t>
  </si>
  <si>
    <t xml:space="preserve">Profissionais por número de empresas em que são RT; destaque acima de 3</t>
  </si>
  <si>
    <t xml:space="preserve">Verificar compatibilidade de tempo e área (conferir o limite na norma vigente)</t>
  </si>
  <si>
    <t xml:space="preserve">Barras (1, 2, 3, 4, 5+) + lista</t>
  </si>
  <si>
    <t xml:space="preserve">RT-05</t>
  </si>
  <si>
    <t xml:space="preserve">ARTs registradas no período; variação anual</t>
  </si>
  <si>
    <t xml:space="preserve">RT-06</t>
  </si>
  <si>
    <t xml:space="preserve">Valor declarado em ART</t>
  </si>
  <si>
    <t xml:space="preserve">Soma do valor de contrato das ARTs</t>
  </si>
  <si>
    <t xml:space="preserve">Volume econômico da engenharia registrada</t>
  </si>
  <si>
    <t xml:space="preserve">RT-07</t>
  </si>
  <si>
    <t xml:space="preserve">ARTs por modalidade</t>
  </si>
  <si>
    <t xml:space="preserve">Quantidade e valor por modalidade</t>
  </si>
  <si>
    <t xml:space="preserve">Perfil da atividade</t>
  </si>
  <si>
    <t xml:space="preserve">Barras</t>
  </si>
  <si>
    <t xml:space="preserve">RT-08</t>
  </si>
  <si>
    <t xml:space="preserve">ARTs por regional e mês</t>
  </si>
  <si>
    <t xml:space="preserve">Últimos 12 meses</t>
  </si>
  <si>
    <t xml:space="preserve">Sazonalidade e quedas regionais</t>
  </si>
  <si>
    <t xml:space="preserve">RT-09</t>
  </si>
  <si>
    <t xml:space="preserve">Empresas sem ART no período</t>
  </si>
  <si>
    <t xml:space="preserve">Empresas ativas sem nenhuma ART no período, por câmara</t>
  </si>
  <si>
    <t xml:space="preserve">Atividade não declarada ou empresa parada</t>
  </si>
  <si>
    <t xml:space="preserve">Cadastro × ART</t>
  </si>
  <si>
    <t xml:space="preserve">Barras por câmara</t>
  </si>
  <si>
    <t xml:space="preserve">RT-10</t>
  </si>
  <si>
    <t xml:space="preserve">Certidão de acervo operacional (CAO)</t>
  </si>
  <si>
    <t xml:space="preserve">Emitidas; prazo mediano e P90 do pedido à emissão; fila por situação (solicitada, em análise, pendente) e idade</t>
  </si>
  <si>
    <t xml:space="preserve">Agilidade do serviço à empresa</t>
  </si>
  <si>
    <t xml:space="preserve">Sistema de certidões</t>
  </si>
  <si>
    <t xml:space="preserve">Histograma de prazo + fila</t>
  </si>
  <si>
    <t xml:space="preserve">RT-11</t>
  </si>
  <si>
    <t xml:space="preserve">Aptas à certidão de registro e quitação</t>
  </si>
  <si>
    <t xml:space="preserve">Empresas ativas sem anuidade vencida ÷ empresas ativas</t>
  </si>
  <si>
    <t xml:space="preserve">Quantas podem disputar licitação hoje</t>
  </si>
  <si>
    <t xml:space="preserve">Cadastro × financeiro</t>
  </si>
  <si>
    <t xml:space="preserve">Cartão + barras por GRE</t>
  </si>
  <si>
    <t xml:space="preserve">Receita, cobrança e orçamento</t>
  </si>
  <si>
    <t xml:space="preserve">REC-01</t>
  </si>
  <si>
    <t xml:space="preserve">Anuidades + multas recebidas; variação anual</t>
  </si>
  <si>
    <t xml:space="preserve">Receita de pessoa jurídica</t>
  </si>
  <si>
    <t xml:space="preserve">REC-02</t>
  </si>
  <si>
    <t xml:space="preserve">Arrecadação mês a mês</t>
  </si>
  <si>
    <t xml:space="preserve">Recebido por mês (anuidades e multas) contra o mesmo mês do ano anterior</t>
  </si>
  <si>
    <t xml:space="preserve">Tendência e sazonalidade</t>
  </si>
  <si>
    <t xml:space="preserve">Barras empilhadas + linha do ano anterior, com ▲▼</t>
  </si>
  <si>
    <t xml:space="preserve">REC-03</t>
  </si>
  <si>
    <t xml:space="preserve">Saldo vencido</t>
  </si>
  <si>
    <t xml:space="preserve">Valor vencido e não pago no corte; variação sobre o início do período</t>
  </si>
  <si>
    <t xml:space="preserve">Estoque a cobrar</t>
  </si>
  <si>
    <t xml:space="preserve">REC-04</t>
  </si>
  <si>
    <t xml:space="preserve">Inadimplência</t>
  </si>
  <si>
    <t xml:space="preserve">Empresas cobradas com saldo vencido ÷ empresas cobradas</t>
  </si>
  <si>
    <t xml:space="preserve">Saúde da carteira</t>
  </si>
  <si>
    <t xml:space="preserve">Cartão + meta de adimplência</t>
  </si>
  <si>
    <t xml:space="preserve">REC-05</t>
  </si>
  <si>
    <t xml:space="preserve">Idade do saldo vencido</t>
  </si>
  <si>
    <t xml:space="preserve">Saldo por faixa: até 30, 31–90, 91–180, 181–365 e mais de 365 dias</t>
  </si>
  <si>
    <t xml:space="preserve">Priorizar o que ainda é recuperável</t>
  </si>
  <si>
    <t xml:space="preserve">Barras horizontais</t>
  </si>
  <si>
    <t xml:space="preserve">REC-06</t>
  </si>
  <si>
    <t xml:space="preserve">Recuperação da dívida</t>
  </si>
  <si>
    <t xml:space="preserve">Recebido no período ÷ saldo vencido no início do período</t>
  </si>
  <si>
    <t xml:space="preserve">Efetividade da cobrança</t>
  </si>
  <si>
    <t xml:space="preserve">Medidor com meta</t>
  </si>
  <si>
    <t xml:space="preserve">REC-07</t>
  </si>
  <si>
    <t xml:space="preserve">Decomposição do saldo vencido</t>
  </si>
  <si>
    <t xml:space="preserve">Saldo por regional → porte → faixa de atraso → CNAE → situação de RT</t>
  </si>
  <si>
    <t xml:space="preserve">Achar onde a dívida se concentra</t>
  </si>
  <si>
    <t xml:space="preserve">Árvore de decomposição</t>
  </si>
  <si>
    <t xml:space="preserve">REC-08</t>
  </si>
  <si>
    <t xml:space="preserve">Potencial anual de registro</t>
  </si>
  <si>
    <t xml:space="preserve">CNPJs de engenharia sem registro × anuidade mediana</t>
  </si>
  <si>
    <t xml:space="preserve">Dimensionar o ganho de receita da fiscalização de registro</t>
  </si>
  <si>
    <t xml:space="preserve">Receita × financeiro</t>
  </si>
  <si>
    <t xml:space="preserve">ORC-01</t>
  </si>
  <si>
    <t xml:space="preserve">Execução orçamentária</t>
  </si>
  <si>
    <t xml:space="preserve">Executado ÷ planejado no período</t>
  </si>
  <si>
    <t xml:space="preserve">Disciplina orçamentária</t>
  </si>
  <si>
    <t xml:space="preserve">Orçamento</t>
  </si>
  <si>
    <t xml:space="preserve">Cartão + meta</t>
  </si>
  <si>
    <t xml:space="preserve">ORC-02</t>
  </si>
  <si>
    <t xml:space="preserve">Planejado × executado por programa</t>
  </si>
  <si>
    <t xml:space="preserve">Formação e eventos, coworkings, serviço cadastral, orientação técnica</t>
  </si>
  <si>
    <t xml:space="preserve">Onde o orçamento sobra ou falta</t>
  </si>
  <si>
    <t xml:space="preserve">Barras tipo bala</t>
  </si>
  <si>
    <t xml:space="preserve">ORC-03</t>
  </si>
  <si>
    <t xml:space="preserve">Despesa publicada do Conselho</t>
  </si>
  <si>
    <t xml:space="preserve">Despesa dos exercícios de 2013 e 2025; composição por subgrupo, acumulada 2013–2026</t>
  </si>
  <si>
    <t xml:space="preserve">Escala e composição do gasto, como o público vê</t>
  </si>
  <si>
    <t xml:space="preserve">Portal da Transparência do CREA-SP</t>
  </si>
  <si>
    <t xml:space="preserve">real</t>
  </si>
  <si>
    <t xml:space="preserve">Atendimento e estrutura</t>
  </si>
  <si>
    <t xml:space="preserve">ATD-01</t>
  </si>
  <si>
    <t xml:space="preserve">Solicitações de atendimento</t>
  </si>
  <si>
    <t xml:space="preserve">Quantidade no período; variação anual; % vindas de empresas</t>
  </si>
  <si>
    <t xml:space="preserve">Demanda</t>
  </si>
  <si>
    <t xml:space="preserve">ATD-02</t>
  </si>
  <si>
    <t xml:space="preserve">Resolvidas no prazo</t>
  </si>
  <si>
    <t xml:space="preserve">Resolvidas em até 14 dias ÷ (resolvidas + abertas com prazo vencido)</t>
  </si>
  <si>
    <t xml:space="preserve">ATD-03</t>
  </si>
  <si>
    <t xml:space="preserve">Tempo de resolução</t>
  </si>
  <si>
    <t xml:space="preserve">Mediana de dias entre pedido e resolução</t>
  </si>
  <si>
    <t xml:space="preserve">ATD-04</t>
  </si>
  <si>
    <t xml:space="preserve">Solicitações por assunto</t>
  </si>
  <si>
    <t xml:space="preserve">Por assunto: no prazo, com atraso, aberta com prazo vencido, aberta no prazo; parte de empresas</t>
  </si>
  <si>
    <t xml:space="preserve">Onde o atendimento atrasa</t>
  </si>
  <si>
    <t xml:space="preserve">ATD-05</t>
  </si>
  <si>
    <t xml:space="preserve">Solicitações por mês</t>
  </si>
  <si>
    <t xml:space="preserve">Quantidade e % no prazo por mês</t>
  </si>
  <si>
    <t xml:space="preserve">Tendência</t>
  </si>
  <si>
    <t xml:space="preserve">Barras + linha</t>
  </si>
  <si>
    <t xml:space="preserve">EST-01</t>
  </si>
  <si>
    <t xml:space="preserve">Ocupação dos coworkings</t>
  </si>
  <si>
    <t xml:space="preserve">Horas usadas ÷ horas disponíveis</t>
  </si>
  <si>
    <t xml:space="preserve">Uso da estrutura física</t>
  </si>
  <si>
    <t xml:space="preserve">Controle de uso CreaLab</t>
  </si>
  <si>
    <t xml:space="preserve">EST-02</t>
  </si>
  <si>
    <t xml:space="preserve">Ocupação por unidade e mês</t>
  </si>
  <si>
    <t xml:space="preserve">Ocupação por unidade nos últimos 12 meses; usuários distintos; custo por hora usada</t>
  </si>
  <si>
    <t xml:space="preserve">Ajustar a oferta de espaços</t>
  </si>
  <si>
    <t xml:space="preserve">Idem + orçamento</t>
  </si>
  <si>
    <t xml:space="preserve">Mapa de calor + lista</t>
  </si>
  <si>
    <t xml:space="preserve">EST-03</t>
  </si>
  <si>
    <t xml:space="preserve">Capacitação: da inscrição à aplicação</t>
  </si>
  <si>
    <t xml:space="preserve">Inscrições → presenças → presenças identificadas → acompanhamento em 90 dias → respostas → aplicação relatada; custo por participante</t>
  </si>
  <si>
    <t xml:space="preserve">Alcance e efeito relatado</t>
  </si>
  <si>
    <t xml:space="preserve">Eventos e pesquisa de retorno</t>
  </si>
  <si>
    <t xml:space="preserve">Funil</t>
  </si>
  <si>
    <t xml:space="preserve">EST-04</t>
  </si>
  <si>
    <t xml:space="preserve">Qualidade do cadastro</t>
  </si>
  <si>
    <t xml:space="preserve">Pendências abertas × resolvidas por tipo: CNPJ inválido ou duplicado, sem CNAE, município divergente, GRE não identificada, CREA ativo com CNPJ baixado</t>
  </si>
  <si>
    <t xml:space="preserve">Confiabilidade da base que alimenta o painel</t>
  </si>
  <si>
    <t xml:space="preserve">Rotinas de qualidade</t>
  </si>
  <si>
    <t xml:space="preserve">Contexto público (somente dados reais)</t>
  </si>
  <si>
    <t xml:space="preserve">PUB-01</t>
  </si>
  <si>
    <t xml:space="preserve">Resultados publicados em 2025</t>
  </si>
  <si>
    <t xml:space="preserve">Ações fiscalizatórias 409.757; autos ≈ 201 mil; novas empresas 26.862; novos profissionais 25.577; ARTs 1.899.583; processos 6.599; Capacita; CreaLab (37 unidades)</t>
  </si>
  <si>
    <t xml:space="preserve">Números oficiais para discurso e referência de escala</t>
  </si>
  <si>
    <t xml:space="preserve">Relatório de Gestão CREA-SP 2025</t>
  </si>
  <si>
    <t xml:space="preserve">Faixa de destaques</t>
  </si>
  <si>
    <t xml:space="preserve">PUB-02</t>
  </si>
  <si>
    <t xml:space="preserve">Remuneração × piso legal</t>
  </si>
  <si>
    <t xml:space="preserve">Salário médio CLT de ocupações de engenharia contra o piso exigível (R$ 10.302 em 8 h) e a leitura Confea (R$ 13.778,50); mediana de admissão do engenheiro civil: R$ 10.360</t>
  </si>
  <si>
    <t xml:space="preserve">Fundamentar a defesa do piso</t>
  </si>
  <si>
    <t xml:space="preserve">CAGED (via portal salario.com.br), Lei 4.950-A/66, STF</t>
  </si>
  <si>
    <t xml:space="preserve">Pirulito com linhas de referência</t>
  </si>
  <si>
    <t xml:space="preserve">PUB-03</t>
  </si>
  <si>
    <t xml:space="preserve">Formação em engenharia em SP</t>
  </si>
  <si>
    <t xml:space="preserve">Concluintes por ano, 2019–2024 (de 36,6 mil para 19,9 mil), e por curso</t>
  </si>
  <si>
    <t xml:space="preserve">Antecipar a entrada de novos profissionais</t>
  </si>
  <si>
    <t xml:space="preserve">INEP, Censo da Educação Superior</t>
  </si>
  <si>
    <t xml:space="preserve">Barras + principais cursos</t>
  </si>
  <si>
    <t xml:space="preserve">PUB-04</t>
  </si>
  <si>
    <t xml:space="preserve">Densidade profissional por UF</t>
  </si>
  <si>
    <t xml:space="preserve">Profissionais ativos por 100 mil habitantes; SP × Brasil</t>
  </si>
  <si>
    <t xml:space="preserve">Posição de SP no Sistema</t>
  </si>
  <si>
    <t xml:space="preserve">Confea SIC × IBGE</t>
  </si>
  <si>
    <t xml:space="preserve">Barras ordenadas, SP destacado</t>
  </si>
  <si>
    <t xml:space="preserve">PUB-05</t>
  </si>
  <si>
    <t xml:space="preserve">Participação feminina</t>
  </si>
  <si>
    <t xml:space="preserve">% de mulheres entre os profissionais: SP 16,1% × Brasil 20,3%</t>
  </si>
  <si>
    <t xml:space="preserve">Pauta de diversidade</t>
  </si>
  <si>
    <t xml:space="preserve">Confea SIC</t>
  </si>
  <si>
    <t xml:space="preserve">Cartão + barras por UF</t>
  </si>
  <si>
    <t xml:space="preserve">PUB-06</t>
  </si>
  <si>
    <t xml:space="preserve">Registros profissionais novos por ano</t>
  </si>
  <si>
    <t xml:space="preserve">Série de SP e do Brasil</t>
  </si>
  <si>
    <t xml:space="preserve">Tendência de entrada no Sistema</t>
  </si>
  <si>
    <t xml:space="preserve">Indicadores</t>
  </si>
  <si>
    <t xml:space="preserve">Manter</t>
  </si>
  <si>
    <t xml:space="preserve">Ajustar</t>
  </si>
  <si>
    <t xml:space="preserve">Cortar</t>
  </si>
  <si>
    <t xml:space="preserve">Sem decisão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</si>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</sst>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082D74"/>
        <bgColor rgb="FF333399"/>
      </patternFill>
    </fill>
    <fill>
      <patternFill patternType="solid">
        <fgColor rgb="FFD9EAD3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82D7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2D7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3" t="s">
        <v>16</v>
      </c>
    </row>
    <row r="19" customFormat="false" ht="15" hidden="false" customHeight="false" outlineLevel="0" collapsed="false">
      <c r="A19" s="3" t="s">
        <v>17</v>
      </c>
    </row>
    <row r="20" customFormat="false" ht="15" hidden="false" customHeight="false" outlineLevel="0" collapsed="false">
      <c r="A20" s="3" t="s">
        <v>18</v>
      </c>
    </row>
    <row r="21" customFormat="false" ht="15" hidden="false" customHeight="false" outlineLevel="0" collapsed="false">
      <c r="A21" s="3" t="s">
        <v>19</v>
      </c>
    </row>
    <row r="22" customFormat="false" ht="15" hidden="false" customHeight="false" outlineLevel="0" collapsed="false">
      <c r="A22" s="3" t="s">
        <v>20</v>
      </c>
    </row>
    <row r="23" customFormat="false" ht="15" hidden="false" customHeight="false" outlineLevel="0" collapsed="false">
      <c r="A23" s="3" t="s">
        <v>21</v>
      </c>
    </row>
    <row r="24" customFormat="false" ht="23.85" hidden="false" customHeight="false" outlineLevel="0" collapsed="false">
      <c r="A24" s="3" t="s">
        <v>22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1" t="s">
        <v>23</v>
      </c>
    </row>
    <row r="27" customFormat="false" ht="15" hidden="false" customHeight="false" outlineLevel="0" collapsed="false">
      <c r="A27" s="3" t="s">
        <v>24</v>
      </c>
    </row>
    <row r="28" customFormat="false" ht="15" hidden="false" customHeight="false" outlineLevel="0" collapsed="false">
      <c r="A28" s="3" t="s">
        <v>25</v>
      </c>
    </row>
    <row r="29" customFormat="false" ht="15" hidden="false" customHeight="false" outlineLevel="0" collapsed="false">
      <c r="A29" s="3" t="s">
        <v>26</v>
      </c>
    </row>
    <row r="30" customFormat="false" ht="15" hidden="false" customHeight="false" outlineLevel="0" collapsed="false">
      <c r="A30" s="3" t="s">
        <v>27</v>
      </c>
    </row>
    <row r="31" customFormat="false" ht="15" hidden="false" customHeight="false" outlineLevel="0" collapsed="false">
      <c r="A31" s="3" t="s">
        <v>28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1" t="s">
        <v>29</v>
      </c>
    </row>
    <row r="34" customFormat="false" ht="15" hidden="false" customHeight="false" outlineLevel="0" collapsed="false">
      <c r="A34" s="3" t="s">
        <v>30</v>
      </c>
    </row>
    <row r="35" customFormat="false" ht="15" hidden="false" customHeight="false" outlineLevel="0" collapsed="false">
      <c r="A35" s="3" t="s">
        <v>31</v>
      </c>
    </row>
    <row r="36" customFormat="false" ht="15" hidden="false" customHeight="false" outlineLevel="0" collapsed="false">
      <c r="A36" s="3" t="s">
        <v>32</v>
      </c>
    </row>
    <row r="37" customFormat="false" ht="15" hidden="false" customHeight="false" outlineLevel="0" collapsed="false">
      <c r="A37" s="3" t="s">
        <v>33</v>
      </c>
    </row>
    <row r="38" customFormat="false" ht="15" hidden="false" customHeight="false" outlineLevel="0" collapsed="false">
      <c r="A38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36"/>
  </cols>
  <sheetData>
    <row r="1" customFormat="false" ht="23.85" hidden="false" customHeight="fals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</row>
    <row r="2" customFormat="false" ht="15" hidden="false" customHeight="false" outlineLevel="0" collapsed="false">
      <c r="A2" s="5" t="s">
        <v>46</v>
      </c>
      <c r="B2" s="6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7" t="s">
        <v>54</v>
      </c>
      <c r="J2" s="8"/>
      <c r="K2" s="8"/>
    </row>
    <row r="3" customFormat="false" ht="23.85" hidden="false" customHeight="false" outlineLevel="0" collapsed="false">
      <c r="A3" s="5" t="s">
        <v>46</v>
      </c>
      <c r="B3" s="6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52</v>
      </c>
      <c r="H3" s="5" t="s">
        <v>60</v>
      </c>
      <c r="I3" s="7" t="s">
        <v>54</v>
      </c>
      <c r="J3" s="8"/>
      <c r="K3" s="8"/>
    </row>
    <row r="4" customFormat="false" ht="23.85" hidden="false" customHeight="false" outlineLevel="0" collapsed="false">
      <c r="A4" s="5" t="s">
        <v>46</v>
      </c>
      <c r="B4" s="6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  <c r="I4" s="7" t="s">
        <v>54</v>
      </c>
      <c r="J4" s="8"/>
      <c r="K4" s="8"/>
    </row>
    <row r="5" customFormat="false" ht="15" hidden="false" customHeight="false" outlineLevel="0" collapsed="false">
      <c r="A5" s="5" t="s">
        <v>46</v>
      </c>
      <c r="B5" s="6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52</v>
      </c>
      <c r="H5" s="5" t="s">
        <v>67</v>
      </c>
      <c r="I5" s="7" t="s">
        <v>54</v>
      </c>
      <c r="J5" s="8"/>
      <c r="K5" s="8"/>
    </row>
    <row r="6" customFormat="false" ht="15" hidden="false" customHeight="false" outlineLevel="0" collapsed="false">
      <c r="A6" s="5" t="s">
        <v>46</v>
      </c>
      <c r="B6" s="6" t="s">
        <v>73</v>
      </c>
      <c r="C6" s="5" t="s">
        <v>74</v>
      </c>
      <c r="D6" s="5" t="s">
        <v>75</v>
      </c>
      <c r="E6" s="5" t="s">
        <v>76</v>
      </c>
      <c r="F6" s="5" t="s">
        <v>72</v>
      </c>
      <c r="G6" s="5" t="s">
        <v>52</v>
      </c>
      <c r="H6" s="5" t="s">
        <v>67</v>
      </c>
      <c r="I6" s="7" t="s">
        <v>54</v>
      </c>
      <c r="J6" s="8"/>
      <c r="K6" s="8"/>
    </row>
    <row r="7" customFormat="false" ht="15" hidden="false" customHeight="false" outlineLevel="0" collapsed="false">
      <c r="A7" s="5" t="s">
        <v>46</v>
      </c>
      <c r="B7" s="6" t="s">
        <v>77</v>
      </c>
      <c r="C7" s="5" t="s">
        <v>78</v>
      </c>
      <c r="D7" s="5" t="s">
        <v>79</v>
      </c>
      <c r="E7" s="5" t="s">
        <v>80</v>
      </c>
      <c r="F7" s="5" t="s">
        <v>81</v>
      </c>
      <c r="G7" s="5" t="s">
        <v>52</v>
      </c>
      <c r="H7" s="5" t="s">
        <v>67</v>
      </c>
      <c r="I7" s="9" t="s">
        <v>82</v>
      </c>
      <c r="J7" s="8"/>
      <c r="K7" s="8"/>
    </row>
    <row r="8" customFormat="false" ht="23.85" hidden="false" customHeight="false" outlineLevel="0" collapsed="false">
      <c r="A8" s="5" t="s">
        <v>46</v>
      </c>
      <c r="B8" s="6" t="s">
        <v>83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52</v>
      </c>
      <c r="H8" s="5" t="s">
        <v>88</v>
      </c>
      <c r="I8" s="9" t="s">
        <v>82</v>
      </c>
      <c r="J8" s="8"/>
      <c r="K8" s="8"/>
    </row>
    <row r="9" customFormat="false" ht="23.85" hidden="false" customHeight="false" outlineLevel="0" collapsed="false">
      <c r="A9" s="5" t="s">
        <v>46</v>
      </c>
      <c r="B9" s="6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 t="s">
        <v>52</v>
      </c>
      <c r="H9" s="5" t="s">
        <v>60</v>
      </c>
      <c r="I9" s="9" t="s">
        <v>82</v>
      </c>
      <c r="J9" s="8"/>
      <c r="K9" s="8"/>
    </row>
    <row r="10" customFormat="false" ht="23.85" hidden="false" customHeight="false" outlineLevel="0" collapsed="false">
      <c r="A10" s="5" t="s">
        <v>46</v>
      </c>
      <c r="B10" s="6" t="s">
        <v>94</v>
      </c>
      <c r="C10" s="5" t="s">
        <v>95</v>
      </c>
      <c r="D10" s="5" t="s">
        <v>96</v>
      </c>
      <c r="E10" s="5" t="s">
        <v>97</v>
      </c>
      <c r="F10" s="5" t="s">
        <v>98</v>
      </c>
      <c r="G10" s="5" t="s">
        <v>52</v>
      </c>
      <c r="H10" s="5" t="s">
        <v>99</v>
      </c>
      <c r="I10" s="7" t="s">
        <v>54</v>
      </c>
      <c r="J10" s="8"/>
      <c r="K10" s="8"/>
    </row>
    <row r="11" customFormat="false" ht="23.85" hidden="false" customHeight="false" outlineLevel="0" collapsed="false">
      <c r="A11" s="5" t="s">
        <v>46</v>
      </c>
      <c r="B11" s="6" t="s">
        <v>100</v>
      </c>
      <c r="C11" s="5" t="s">
        <v>101</v>
      </c>
      <c r="D11" s="5" t="s">
        <v>102</v>
      </c>
      <c r="E11" s="5" t="s">
        <v>103</v>
      </c>
      <c r="F11" s="5" t="s">
        <v>98</v>
      </c>
      <c r="G11" s="5" t="s">
        <v>52</v>
      </c>
      <c r="H11" s="5" t="s">
        <v>104</v>
      </c>
      <c r="I11" s="7" t="s">
        <v>54</v>
      </c>
      <c r="J11" s="8"/>
      <c r="K11" s="8"/>
    </row>
    <row r="12" customFormat="false" ht="23.85" hidden="false" customHeight="false" outlineLevel="0" collapsed="false">
      <c r="A12" s="5" t="s">
        <v>46</v>
      </c>
      <c r="B12" s="6" t="s">
        <v>105</v>
      </c>
      <c r="C12" s="5" t="s">
        <v>106</v>
      </c>
      <c r="D12" s="5" t="s">
        <v>107</v>
      </c>
      <c r="E12" s="5" t="s">
        <v>108</v>
      </c>
      <c r="F12" s="5" t="s">
        <v>109</v>
      </c>
      <c r="G12" s="5"/>
      <c r="H12" s="5" t="s">
        <v>110</v>
      </c>
      <c r="I12" s="9" t="s">
        <v>82</v>
      </c>
      <c r="J12" s="8"/>
      <c r="K12" s="8"/>
    </row>
    <row r="13" customFormat="false" ht="23.85" hidden="false" customHeight="false" outlineLevel="0" collapsed="false">
      <c r="A13" s="5" t="s">
        <v>111</v>
      </c>
      <c r="B13" s="6" t="s">
        <v>112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52</v>
      </c>
      <c r="H13" s="5" t="s">
        <v>117</v>
      </c>
      <c r="I13" s="7" t="s">
        <v>54</v>
      </c>
      <c r="J13" s="8"/>
      <c r="K13" s="8"/>
    </row>
    <row r="14" customFormat="false" ht="15" hidden="false" customHeight="false" outlineLevel="0" collapsed="false">
      <c r="A14" s="5" t="s">
        <v>111</v>
      </c>
      <c r="B14" s="6" t="s">
        <v>118</v>
      </c>
      <c r="C14" s="5" t="s">
        <v>119</v>
      </c>
      <c r="D14" s="5" t="s">
        <v>120</v>
      </c>
      <c r="E14" s="5" t="s">
        <v>121</v>
      </c>
      <c r="F14" s="5" t="s">
        <v>72</v>
      </c>
      <c r="G14" s="5" t="s">
        <v>52</v>
      </c>
      <c r="H14" s="5" t="s">
        <v>117</v>
      </c>
      <c r="I14" s="7" t="s">
        <v>54</v>
      </c>
      <c r="J14" s="8"/>
      <c r="K14" s="8"/>
    </row>
    <row r="15" customFormat="false" ht="15" hidden="false" customHeight="false" outlineLevel="0" collapsed="false">
      <c r="A15" s="5" t="s">
        <v>111</v>
      </c>
      <c r="B15" s="6" t="s">
        <v>122</v>
      </c>
      <c r="C15" s="5" t="s">
        <v>123</v>
      </c>
      <c r="D15" s="5" t="s">
        <v>124</v>
      </c>
      <c r="E15" s="5" t="s">
        <v>125</v>
      </c>
      <c r="F15" s="5" t="s">
        <v>116</v>
      </c>
      <c r="G15" s="5" t="s">
        <v>52</v>
      </c>
      <c r="H15" s="5" t="s">
        <v>126</v>
      </c>
      <c r="I15" s="9" t="s">
        <v>82</v>
      </c>
      <c r="J15" s="8"/>
      <c r="K15" s="8"/>
    </row>
    <row r="16" customFormat="false" ht="35.05" hidden="false" customHeight="false" outlineLevel="0" collapsed="false">
      <c r="A16" s="5" t="s">
        <v>111</v>
      </c>
      <c r="B16" s="6" t="s">
        <v>127</v>
      </c>
      <c r="C16" s="5" t="s">
        <v>128</v>
      </c>
      <c r="D16" s="5" t="s">
        <v>129</v>
      </c>
      <c r="E16" s="5" t="s">
        <v>130</v>
      </c>
      <c r="F16" s="5" t="s">
        <v>131</v>
      </c>
      <c r="G16" s="5" t="s">
        <v>52</v>
      </c>
      <c r="H16" s="5" t="s">
        <v>132</v>
      </c>
      <c r="I16" s="7" t="s">
        <v>54</v>
      </c>
      <c r="J16" s="8"/>
      <c r="K16" s="8"/>
    </row>
    <row r="17" customFormat="false" ht="23.85" hidden="false" customHeight="false" outlineLevel="0" collapsed="false">
      <c r="A17" s="5" t="s">
        <v>111</v>
      </c>
      <c r="B17" s="6" t="s">
        <v>133</v>
      </c>
      <c r="C17" s="5" t="s">
        <v>134</v>
      </c>
      <c r="D17" s="5" t="s">
        <v>135</v>
      </c>
      <c r="E17" s="5" t="s">
        <v>136</v>
      </c>
      <c r="F17" s="5" t="s">
        <v>111</v>
      </c>
      <c r="G17" s="5" t="s">
        <v>52</v>
      </c>
      <c r="H17" s="5" t="s">
        <v>137</v>
      </c>
      <c r="I17" s="7" t="s">
        <v>54</v>
      </c>
      <c r="J17" s="8"/>
      <c r="K17" s="8"/>
    </row>
    <row r="18" customFormat="false" ht="15" hidden="false" customHeight="false" outlineLevel="0" collapsed="false">
      <c r="A18" s="5" t="s">
        <v>111</v>
      </c>
      <c r="B18" s="6" t="s">
        <v>138</v>
      </c>
      <c r="C18" s="5" t="s">
        <v>139</v>
      </c>
      <c r="D18" s="5" t="s">
        <v>140</v>
      </c>
      <c r="E18" s="5" t="s">
        <v>141</v>
      </c>
      <c r="F18" s="5" t="s">
        <v>142</v>
      </c>
      <c r="G18" s="5" t="s">
        <v>52</v>
      </c>
      <c r="H18" s="5" t="s">
        <v>143</v>
      </c>
      <c r="I18" s="9" t="s">
        <v>82</v>
      </c>
      <c r="J18" s="8"/>
      <c r="K18" s="8"/>
    </row>
    <row r="19" customFormat="false" ht="15" hidden="false" customHeight="false" outlineLevel="0" collapsed="false">
      <c r="A19" s="5" t="s">
        <v>111</v>
      </c>
      <c r="B19" s="6" t="s">
        <v>144</v>
      </c>
      <c r="C19" s="5" t="s">
        <v>145</v>
      </c>
      <c r="D19" s="5" t="s">
        <v>146</v>
      </c>
      <c r="E19" s="5" t="s">
        <v>147</v>
      </c>
      <c r="F19" s="5" t="s">
        <v>148</v>
      </c>
      <c r="G19" s="5" t="s">
        <v>52</v>
      </c>
      <c r="H19" s="5" t="s">
        <v>149</v>
      </c>
      <c r="I19" s="9" t="s">
        <v>82</v>
      </c>
      <c r="J19" s="8"/>
      <c r="K19" s="8"/>
    </row>
    <row r="20" customFormat="false" ht="15" hidden="false" customHeight="false" outlineLevel="0" collapsed="false">
      <c r="A20" s="5" t="s">
        <v>111</v>
      </c>
      <c r="B20" s="6" t="s">
        <v>150</v>
      </c>
      <c r="C20" s="5" t="s">
        <v>151</v>
      </c>
      <c r="D20" s="5" t="s">
        <v>152</v>
      </c>
      <c r="E20" s="5" t="s">
        <v>153</v>
      </c>
      <c r="F20" s="5" t="s">
        <v>111</v>
      </c>
      <c r="G20" s="5" t="s">
        <v>52</v>
      </c>
      <c r="H20" s="5" t="s">
        <v>154</v>
      </c>
      <c r="I20" s="9" t="s">
        <v>82</v>
      </c>
      <c r="J20" s="8"/>
      <c r="K20" s="8"/>
    </row>
    <row r="21" customFormat="false" ht="15" hidden="false" customHeight="false" outlineLevel="0" collapsed="false">
      <c r="A21" s="5" t="s">
        <v>111</v>
      </c>
      <c r="B21" s="6" t="s">
        <v>155</v>
      </c>
      <c r="C21" s="5" t="s">
        <v>156</v>
      </c>
      <c r="D21" s="5" t="s">
        <v>157</v>
      </c>
      <c r="E21" s="5" t="s">
        <v>158</v>
      </c>
      <c r="F21" s="5" t="s">
        <v>111</v>
      </c>
      <c r="G21" s="5" t="s">
        <v>52</v>
      </c>
      <c r="H21" s="5" t="s">
        <v>159</v>
      </c>
      <c r="I21" s="10" t="s">
        <v>160</v>
      </c>
      <c r="J21" s="8"/>
      <c r="K21" s="8"/>
    </row>
    <row r="22" customFormat="false" ht="23.85" hidden="false" customHeight="false" outlineLevel="0" collapsed="false">
      <c r="A22" s="5" t="s">
        <v>161</v>
      </c>
      <c r="B22" s="6" t="s">
        <v>162</v>
      </c>
      <c r="C22" s="5" t="s">
        <v>163</v>
      </c>
      <c r="D22" s="5" t="s">
        <v>164</v>
      </c>
      <c r="E22" s="5" t="s">
        <v>165</v>
      </c>
      <c r="F22" s="5" t="s">
        <v>65</v>
      </c>
      <c r="G22" s="5" t="s">
        <v>66</v>
      </c>
      <c r="H22" s="5" t="s">
        <v>67</v>
      </c>
      <c r="I22" s="7" t="s">
        <v>54</v>
      </c>
      <c r="J22" s="8"/>
      <c r="K22" s="8"/>
    </row>
    <row r="23" customFormat="false" ht="23.85" hidden="false" customHeight="false" outlineLevel="0" collapsed="false">
      <c r="A23" s="5" t="s">
        <v>161</v>
      </c>
      <c r="B23" s="6" t="s">
        <v>166</v>
      </c>
      <c r="C23" s="5" t="s">
        <v>62</v>
      </c>
      <c r="D23" s="5" t="s">
        <v>167</v>
      </c>
      <c r="E23" s="5" t="s">
        <v>168</v>
      </c>
      <c r="F23" s="5" t="s">
        <v>169</v>
      </c>
      <c r="G23" s="5" t="s">
        <v>66</v>
      </c>
      <c r="H23" s="5" t="s">
        <v>170</v>
      </c>
      <c r="I23" s="7" t="s">
        <v>54</v>
      </c>
      <c r="J23" s="8"/>
      <c r="K23" s="8"/>
    </row>
    <row r="24" customFormat="false" ht="23.85" hidden="false" customHeight="false" outlineLevel="0" collapsed="false">
      <c r="A24" s="5" t="s">
        <v>161</v>
      </c>
      <c r="B24" s="6" t="s">
        <v>171</v>
      </c>
      <c r="C24" s="5" t="s">
        <v>172</v>
      </c>
      <c r="D24" s="5" t="s">
        <v>173</v>
      </c>
      <c r="E24" s="5" t="s">
        <v>174</v>
      </c>
      <c r="F24" s="5" t="s">
        <v>175</v>
      </c>
      <c r="G24" s="5" t="s">
        <v>66</v>
      </c>
      <c r="H24" s="5" t="s">
        <v>88</v>
      </c>
      <c r="I24" s="7" t="s">
        <v>54</v>
      </c>
      <c r="J24" s="8"/>
      <c r="K24" s="8"/>
    </row>
    <row r="25" customFormat="false" ht="15" hidden="false" customHeight="false" outlineLevel="0" collapsed="false">
      <c r="A25" s="5" t="s">
        <v>161</v>
      </c>
      <c r="B25" s="6" t="s">
        <v>176</v>
      </c>
      <c r="C25" s="5" t="s">
        <v>177</v>
      </c>
      <c r="D25" s="5" t="s">
        <v>178</v>
      </c>
      <c r="E25" s="5" t="s">
        <v>179</v>
      </c>
      <c r="F25" s="5" t="s">
        <v>72</v>
      </c>
      <c r="G25" s="5" t="s">
        <v>66</v>
      </c>
      <c r="H25" s="5" t="s">
        <v>180</v>
      </c>
      <c r="I25" s="9" t="s">
        <v>82</v>
      </c>
      <c r="J25" s="8"/>
      <c r="K25" s="8"/>
    </row>
    <row r="26" customFormat="false" ht="23.85" hidden="false" customHeight="false" outlineLevel="0" collapsed="false">
      <c r="A26" s="5" t="s">
        <v>161</v>
      </c>
      <c r="B26" s="6" t="s">
        <v>181</v>
      </c>
      <c r="C26" s="5" t="s">
        <v>182</v>
      </c>
      <c r="D26" s="5" t="s">
        <v>183</v>
      </c>
      <c r="E26" s="5" t="s">
        <v>184</v>
      </c>
      <c r="F26" s="5" t="s">
        <v>185</v>
      </c>
      <c r="G26" s="5" t="s">
        <v>66</v>
      </c>
      <c r="H26" s="5" t="s">
        <v>67</v>
      </c>
      <c r="I26" s="7" t="s">
        <v>54</v>
      </c>
      <c r="J26" s="8"/>
      <c r="K26" s="8"/>
    </row>
    <row r="27" customFormat="false" ht="23.85" hidden="false" customHeight="false" outlineLevel="0" collapsed="false">
      <c r="A27" s="5" t="s">
        <v>161</v>
      </c>
      <c r="B27" s="6" t="s">
        <v>186</v>
      </c>
      <c r="C27" s="5" t="s">
        <v>187</v>
      </c>
      <c r="D27" s="5" t="s">
        <v>188</v>
      </c>
      <c r="E27" s="5" t="s">
        <v>189</v>
      </c>
      <c r="F27" s="5" t="s">
        <v>169</v>
      </c>
      <c r="G27" s="5" t="s">
        <v>66</v>
      </c>
      <c r="H27" s="5" t="s">
        <v>180</v>
      </c>
      <c r="I27" s="7" t="s">
        <v>54</v>
      </c>
      <c r="J27" s="8"/>
      <c r="K27" s="8"/>
    </row>
    <row r="28" customFormat="false" ht="23.85" hidden="false" customHeight="false" outlineLevel="0" collapsed="false">
      <c r="A28" s="5" t="s">
        <v>161</v>
      </c>
      <c r="B28" s="6" t="s">
        <v>190</v>
      </c>
      <c r="C28" s="5" t="s">
        <v>191</v>
      </c>
      <c r="D28" s="5" t="s">
        <v>192</v>
      </c>
      <c r="E28" s="5" t="s">
        <v>193</v>
      </c>
      <c r="F28" s="5" t="s">
        <v>169</v>
      </c>
      <c r="G28" s="5" t="s">
        <v>66</v>
      </c>
      <c r="H28" s="5" t="s">
        <v>149</v>
      </c>
      <c r="I28" s="7" t="s">
        <v>54</v>
      </c>
      <c r="J28" s="8"/>
      <c r="K28" s="8"/>
    </row>
    <row r="29" customFormat="false" ht="23.85" hidden="false" customHeight="false" outlineLevel="0" collapsed="false">
      <c r="A29" s="5" t="s">
        <v>161</v>
      </c>
      <c r="B29" s="6" t="s">
        <v>194</v>
      </c>
      <c r="C29" s="5" t="s">
        <v>195</v>
      </c>
      <c r="D29" s="5" t="s">
        <v>196</v>
      </c>
      <c r="E29" s="5" t="s">
        <v>197</v>
      </c>
      <c r="F29" s="5" t="s">
        <v>198</v>
      </c>
      <c r="G29" s="5" t="s">
        <v>52</v>
      </c>
      <c r="H29" s="5" t="s">
        <v>199</v>
      </c>
      <c r="I29" s="7" t="s">
        <v>54</v>
      </c>
      <c r="J29" s="8"/>
      <c r="K29" s="8"/>
    </row>
    <row r="30" customFormat="false" ht="23.85" hidden="false" customHeight="false" outlineLevel="0" collapsed="false">
      <c r="A30" s="5" t="s">
        <v>161</v>
      </c>
      <c r="B30" s="6" t="s">
        <v>200</v>
      </c>
      <c r="C30" s="5" t="s">
        <v>201</v>
      </c>
      <c r="D30" s="5" t="s">
        <v>202</v>
      </c>
      <c r="E30" s="5" t="s">
        <v>203</v>
      </c>
      <c r="F30" s="5" t="s">
        <v>169</v>
      </c>
      <c r="G30" s="5" t="s">
        <v>66</v>
      </c>
      <c r="H30" s="5" t="s">
        <v>204</v>
      </c>
      <c r="I30" s="9" t="s">
        <v>82</v>
      </c>
      <c r="J30" s="8"/>
      <c r="K30" s="8"/>
    </row>
    <row r="31" customFormat="false" ht="23.85" hidden="false" customHeight="false" outlineLevel="0" collapsed="false">
      <c r="A31" s="5" t="s">
        <v>161</v>
      </c>
      <c r="B31" s="6" t="s">
        <v>205</v>
      </c>
      <c r="C31" s="5" t="s">
        <v>206</v>
      </c>
      <c r="D31" s="5" t="s">
        <v>207</v>
      </c>
      <c r="E31" s="5" t="s">
        <v>208</v>
      </c>
      <c r="F31" s="5" t="s">
        <v>169</v>
      </c>
      <c r="G31" s="5" t="s">
        <v>66</v>
      </c>
      <c r="H31" s="5" t="s">
        <v>209</v>
      </c>
      <c r="I31" s="9" t="s">
        <v>82</v>
      </c>
      <c r="J31" s="8"/>
      <c r="K31" s="8"/>
    </row>
    <row r="32" customFormat="false" ht="23.85" hidden="false" customHeight="false" outlineLevel="0" collapsed="false">
      <c r="A32" s="5" t="s">
        <v>161</v>
      </c>
      <c r="B32" s="6" t="s">
        <v>210</v>
      </c>
      <c r="C32" s="5" t="s">
        <v>211</v>
      </c>
      <c r="D32" s="5" t="s">
        <v>212</v>
      </c>
      <c r="E32" s="5" t="s">
        <v>213</v>
      </c>
      <c r="F32" s="5" t="s">
        <v>169</v>
      </c>
      <c r="G32" s="5" t="s">
        <v>66</v>
      </c>
      <c r="H32" s="5" t="s">
        <v>214</v>
      </c>
      <c r="I32" s="9" t="s">
        <v>82</v>
      </c>
      <c r="J32" s="8"/>
      <c r="K32" s="8"/>
    </row>
    <row r="33" customFormat="false" ht="15" hidden="false" customHeight="false" outlineLevel="0" collapsed="false">
      <c r="A33" s="5" t="s">
        <v>161</v>
      </c>
      <c r="B33" s="6" t="s">
        <v>215</v>
      </c>
      <c r="C33" s="5" t="s">
        <v>216</v>
      </c>
      <c r="D33" s="5" t="s">
        <v>217</v>
      </c>
      <c r="E33" s="5" t="s">
        <v>218</v>
      </c>
      <c r="F33" s="5" t="s">
        <v>169</v>
      </c>
      <c r="G33" s="5" t="s">
        <v>66</v>
      </c>
      <c r="H33" s="5" t="s">
        <v>219</v>
      </c>
      <c r="I33" s="10" t="s">
        <v>160</v>
      </c>
      <c r="J33" s="8"/>
      <c r="K33" s="8"/>
    </row>
    <row r="34" customFormat="false" ht="23.85" hidden="false" customHeight="false" outlineLevel="0" collapsed="false">
      <c r="A34" s="5" t="s">
        <v>220</v>
      </c>
      <c r="B34" s="6" t="s">
        <v>221</v>
      </c>
      <c r="C34" s="5" t="s">
        <v>222</v>
      </c>
      <c r="D34" s="5" t="s">
        <v>223</v>
      </c>
      <c r="E34" s="5" t="s">
        <v>224</v>
      </c>
      <c r="F34" s="5" t="s">
        <v>109</v>
      </c>
      <c r="G34" s="5" t="s">
        <v>52</v>
      </c>
      <c r="H34" s="5" t="s">
        <v>225</v>
      </c>
      <c r="I34" s="7" t="s">
        <v>54</v>
      </c>
      <c r="J34" s="8"/>
      <c r="K34" s="8"/>
    </row>
    <row r="35" customFormat="false" ht="23.85" hidden="false" customHeight="false" outlineLevel="0" collapsed="false">
      <c r="A35" s="5" t="s">
        <v>220</v>
      </c>
      <c r="B35" s="6" t="s">
        <v>226</v>
      </c>
      <c r="C35" s="5" t="s">
        <v>227</v>
      </c>
      <c r="D35" s="5" t="s">
        <v>228</v>
      </c>
      <c r="E35" s="5" t="s">
        <v>229</v>
      </c>
      <c r="F35" s="5" t="s">
        <v>230</v>
      </c>
      <c r="G35" s="5" t="s">
        <v>52</v>
      </c>
      <c r="H35" s="5" t="s">
        <v>231</v>
      </c>
      <c r="I35" s="7" t="s">
        <v>54</v>
      </c>
      <c r="J35" s="8"/>
      <c r="K35" s="8"/>
    </row>
    <row r="36" customFormat="false" ht="23.85" hidden="false" customHeight="false" outlineLevel="0" collapsed="false">
      <c r="A36" s="5" t="s">
        <v>220</v>
      </c>
      <c r="B36" s="6" t="s">
        <v>232</v>
      </c>
      <c r="C36" s="5" t="s">
        <v>233</v>
      </c>
      <c r="D36" s="5" t="s">
        <v>234</v>
      </c>
      <c r="E36" s="5" t="s">
        <v>235</v>
      </c>
      <c r="F36" s="5" t="s">
        <v>236</v>
      </c>
      <c r="G36" s="5" t="s">
        <v>52</v>
      </c>
      <c r="H36" s="5" t="s">
        <v>237</v>
      </c>
      <c r="I36" s="9" t="s">
        <v>82</v>
      </c>
      <c r="J36" s="8"/>
      <c r="K36" s="8"/>
    </row>
    <row r="37" customFormat="false" ht="35.05" hidden="false" customHeight="false" outlineLevel="0" collapsed="false">
      <c r="A37" s="5" t="s">
        <v>220</v>
      </c>
      <c r="B37" s="6" t="s">
        <v>238</v>
      </c>
      <c r="C37" s="5" t="s">
        <v>239</v>
      </c>
      <c r="D37" s="5" t="s">
        <v>240</v>
      </c>
      <c r="E37" s="5" t="s">
        <v>241</v>
      </c>
      <c r="F37" s="5" t="s">
        <v>242</v>
      </c>
      <c r="G37" s="5" t="s">
        <v>52</v>
      </c>
      <c r="H37" s="5" t="s">
        <v>243</v>
      </c>
      <c r="I37" s="9" t="s">
        <v>82</v>
      </c>
      <c r="J37" s="8"/>
      <c r="K37" s="8"/>
    </row>
    <row r="38" customFormat="false" ht="57.45" hidden="false" customHeight="false" outlineLevel="0" collapsed="false">
      <c r="A38" s="5" t="s">
        <v>220</v>
      </c>
      <c r="B38" s="6" t="s">
        <v>244</v>
      </c>
      <c r="C38" s="5" t="s">
        <v>245</v>
      </c>
      <c r="D38" s="5" t="s">
        <v>246</v>
      </c>
      <c r="E38" s="5" t="s">
        <v>247</v>
      </c>
      <c r="F38" s="5" t="s">
        <v>248</v>
      </c>
      <c r="G38" s="5" t="s">
        <v>52</v>
      </c>
      <c r="H38" s="5" t="s">
        <v>249</v>
      </c>
      <c r="I38" s="9" t="s">
        <v>82</v>
      </c>
      <c r="J38" s="8"/>
      <c r="K38" s="8"/>
    </row>
    <row r="39" customFormat="false" ht="23.85" hidden="false" customHeight="false" outlineLevel="0" collapsed="false">
      <c r="A39" s="5" t="s">
        <v>220</v>
      </c>
      <c r="B39" s="6" t="s">
        <v>250</v>
      </c>
      <c r="C39" s="5" t="s">
        <v>251</v>
      </c>
      <c r="D39" s="5" t="s">
        <v>252</v>
      </c>
      <c r="E39" s="5" t="s">
        <v>253</v>
      </c>
      <c r="F39" s="5" t="s">
        <v>254</v>
      </c>
      <c r="G39" s="5" t="s">
        <v>52</v>
      </c>
      <c r="H39" s="5" t="s">
        <v>255</v>
      </c>
      <c r="I39" s="9" t="s">
        <v>82</v>
      </c>
      <c r="J39" s="8"/>
      <c r="K39" s="8"/>
    </row>
    <row r="40" customFormat="false" ht="23.85" hidden="false" customHeight="false" outlineLevel="0" collapsed="false">
      <c r="A40" s="5" t="s">
        <v>220</v>
      </c>
      <c r="B40" s="6" t="s">
        <v>256</v>
      </c>
      <c r="C40" s="5" t="s">
        <v>257</v>
      </c>
      <c r="D40" s="5" t="s">
        <v>258</v>
      </c>
      <c r="E40" s="5" t="s">
        <v>259</v>
      </c>
      <c r="F40" s="5" t="s">
        <v>260</v>
      </c>
      <c r="G40" s="5" t="s">
        <v>52</v>
      </c>
      <c r="H40" s="5" t="s">
        <v>261</v>
      </c>
      <c r="I40" s="10" t="s">
        <v>160</v>
      </c>
      <c r="J40" s="8"/>
      <c r="K40" s="8"/>
    </row>
    <row r="41" customFormat="false" ht="46.25" hidden="false" customHeight="false" outlineLevel="0" collapsed="false">
      <c r="A41" s="5" t="s">
        <v>220</v>
      </c>
      <c r="B41" s="6" t="s">
        <v>262</v>
      </c>
      <c r="C41" s="5" t="s">
        <v>263</v>
      </c>
      <c r="D41" s="5" t="s">
        <v>264</v>
      </c>
      <c r="E41" s="5" t="s">
        <v>265</v>
      </c>
      <c r="F41" s="5" t="s">
        <v>266</v>
      </c>
      <c r="G41" s="5" t="s">
        <v>52</v>
      </c>
      <c r="H41" s="5" t="s">
        <v>267</v>
      </c>
      <c r="I41" s="7" t="s">
        <v>54</v>
      </c>
      <c r="J41" s="8"/>
      <c r="K41" s="8"/>
    </row>
    <row r="42" customFormat="false" ht="23.85" hidden="false" customHeight="false" outlineLevel="0" collapsed="false">
      <c r="A42" s="5" t="s">
        <v>220</v>
      </c>
      <c r="B42" s="6" t="s">
        <v>268</v>
      </c>
      <c r="C42" s="5" t="s">
        <v>269</v>
      </c>
      <c r="D42" s="5" t="s">
        <v>270</v>
      </c>
      <c r="E42" s="5" t="s">
        <v>271</v>
      </c>
      <c r="F42" s="5" t="s">
        <v>272</v>
      </c>
      <c r="G42" s="5" t="s">
        <v>52</v>
      </c>
      <c r="H42" s="5" t="s">
        <v>273</v>
      </c>
      <c r="I42" s="9" t="s">
        <v>82</v>
      </c>
      <c r="J42" s="8"/>
      <c r="K42" s="8"/>
    </row>
    <row r="43" customFormat="false" ht="23.85" hidden="false" customHeight="false" outlineLevel="0" collapsed="false">
      <c r="A43" s="5" t="s">
        <v>274</v>
      </c>
      <c r="B43" s="6" t="s">
        <v>275</v>
      </c>
      <c r="C43" s="5" t="s">
        <v>276</v>
      </c>
      <c r="D43" s="5" t="s">
        <v>277</v>
      </c>
      <c r="E43" s="5" t="s">
        <v>278</v>
      </c>
      <c r="F43" s="5" t="s">
        <v>279</v>
      </c>
      <c r="G43" s="5" t="s">
        <v>52</v>
      </c>
      <c r="H43" s="5" t="s">
        <v>280</v>
      </c>
      <c r="I43" s="7" t="s">
        <v>54</v>
      </c>
      <c r="J43" s="8"/>
      <c r="K43" s="8"/>
    </row>
    <row r="44" customFormat="false" ht="23.85" hidden="false" customHeight="false" outlineLevel="0" collapsed="false">
      <c r="A44" s="5" t="s">
        <v>274</v>
      </c>
      <c r="B44" s="6" t="s">
        <v>281</v>
      </c>
      <c r="C44" s="5" t="s">
        <v>282</v>
      </c>
      <c r="D44" s="5" t="s">
        <v>283</v>
      </c>
      <c r="E44" s="5" t="s">
        <v>284</v>
      </c>
      <c r="F44" s="5" t="s">
        <v>169</v>
      </c>
      <c r="G44" s="5" t="s">
        <v>52</v>
      </c>
      <c r="H44" s="5" t="s">
        <v>261</v>
      </c>
      <c r="I44" s="7" t="s">
        <v>54</v>
      </c>
      <c r="J44" s="8"/>
      <c r="K44" s="8"/>
    </row>
    <row r="45" customFormat="false" ht="23.85" hidden="false" customHeight="false" outlineLevel="0" collapsed="false">
      <c r="A45" s="5" t="s">
        <v>274</v>
      </c>
      <c r="B45" s="6" t="s">
        <v>285</v>
      </c>
      <c r="C45" s="5" t="s">
        <v>286</v>
      </c>
      <c r="D45" s="5" t="s">
        <v>287</v>
      </c>
      <c r="E45" s="5" t="s">
        <v>288</v>
      </c>
      <c r="F45" s="5" t="s">
        <v>169</v>
      </c>
      <c r="G45" s="5" t="s">
        <v>52</v>
      </c>
      <c r="H45" s="5" t="s">
        <v>180</v>
      </c>
      <c r="I45" s="10" t="s">
        <v>160</v>
      </c>
      <c r="J45" s="8"/>
      <c r="K45" s="8"/>
    </row>
    <row r="46" customFormat="false" ht="23.85" hidden="false" customHeight="false" outlineLevel="0" collapsed="false">
      <c r="A46" s="5" t="s">
        <v>274</v>
      </c>
      <c r="B46" s="6" t="s">
        <v>289</v>
      </c>
      <c r="C46" s="5" t="s">
        <v>290</v>
      </c>
      <c r="D46" s="5" t="s">
        <v>291</v>
      </c>
      <c r="E46" s="5" t="s">
        <v>292</v>
      </c>
      <c r="F46" s="5" t="s">
        <v>169</v>
      </c>
      <c r="G46" s="5" t="s">
        <v>52</v>
      </c>
      <c r="H46" s="5" t="s">
        <v>293</v>
      </c>
      <c r="I46" s="9" t="s">
        <v>82</v>
      </c>
      <c r="J46" s="8"/>
      <c r="K46" s="8"/>
    </row>
    <row r="47" customFormat="false" ht="23.85" hidden="false" customHeight="false" outlineLevel="0" collapsed="false">
      <c r="A47" s="5" t="s">
        <v>274</v>
      </c>
      <c r="B47" s="6" t="s">
        <v>294</v>
      </c>
      <c r="C47" s="5" t="s">
        <v>78</v>
      </c>
      <c r="D47" s="5" t="s">
        <v>295</v>
      </c>
      <c r="E47" s="5" t="s">
        <v>80</v>
      </c>
      <c r="F47" s="5" t="s">
        <v>81</v>
      </c>
      <c r="G47" s="5" t="s">
        <v>52</v>
      </c>
      <c r="H47" s="5" t="s">
        <v>67</v>
      </c>
      <c r="I47" s="7" t="s">
        <v>54</v>
      </c>
      <c r="J47" s="8"/>
      <c r="K47" s="8"/>
    </row>
    <row r="48" customFormat="false" ht="23.85" hidden="false" customHeight="false" outlineLevel="0" collapsed="false">
      <c r="A48" s="5" t="s">
        <v>274</v>
      </c>
      <c r="B48" s="6" t="s">
        <v>296</v>
      </c>
      <c r="C48" s="5" t="s">
        <v>297</v>
      </c>
      <c r="D48" s="5" t="s">
        <v>298</v>
      </c>
      <c r="E48" s="5" t="s">
        <v>299</v>
      </c>
      <c r="F48" s="5" t="s">
        <v>169</v>
      </c>
      <c r="G48" s="5" t="s">
        <v>52</v>
      </c>
      <c r="H48" s="5" t="s">
        <v>180</v>
      </c>
      <c r="I48" s="9" t="s">
        <v>82</v>
      </c>
      <c r="J48" s="8"/>
      <c r="K48" s="8"/>
    </row>
    <row r="49" customFormat="false" ht="23.85" hidden="false" customHeight="false" outlineLevel="0" collapsed="false">
      <c r="A49" s="5" t="s">
        <v>274</v>
      </c>
      <c r="B49" s="6" t="s">
        <v>300</v>
      </c>
      <c r="C49" s="5" t="s">
        <v>301</v>
      </c>
      <c r="D49" s="5" t="s">
        <v>302</v>
      </c>
      <c r="E49" s="5" t="s">
        <v>303</v>
      </c>
      <c r="F49" s="5" t="s">
        <v>169</v>
      </c>
      <c r="G49" s="5" t="s">
        <v>52</v>
      </c>
      <c r="H49" s="5" t="s">
        <v>304</v>
      </c>
      <c r="I49" s="10" t="s">
        <v>160</v>
      </c>
      <c r="J49" s="8"/>
      <c r="K49" s="8"/>
    </row>
    <row r="50" customFormat="false" ht="23.85" hidden="false" customHeight="false" outlineLevel="0" collapsed="false">
      <c r="A50" s="5" t="s">
        <v>274</v>
      </c>
      <c r="B50" s="6" t="s">
        <v>305</v>
      </c>
      <c r="C50" s="5" t="s">
        <v>306</v>
      </c>
      <c r="D50" s="5" t="s">
        <v>307</v>
      </c>
      <c r="E50" s="5" t="s">
        <v>308</v>
      </c>
      <c r="F50" s="5" t="s">
        <v>169</v>
      </c>
      <c r="G50" s="5" t="s">
        <v>52</v>
      </c>
      <c r="H50" s="5" t="s">
        <v>219</v>
      </c>
      <c r="I50" s="9" t="s">
        <v>82</v>
      </c>
      <c r="J50" s="8"/>
      <c r="K50" s="8"/>
    </row>
    <row r="51" customFormat="false" ht="23.85" hidden="false" customHeight="false" outlineLevel="0" collapsed="false">
      <c r="A51" s="5" t="s">
        <v>274</v>
      </c>
      <c r="B51" s="6" t="s">
        <v>309</v>
      </c>
      <c r="C51" s="5" t="s">
        <v>310</v>
      </c>
      <c r="D51" s="5" t="s">
        <v>311</v>
      </c>
      <c r="E51" s="5" t="s">
        <v>312</v>
      </c>
      <c r="F51" s="5" t="s">
        <v>313</v>
      </c>
      <c r="G51" s="5" t="s">
        <v>52</v>
      </c>
      <c r="H51" s="5" t="s">
        <v>314</v>
      </c>
      <c r="I51" s="9" t="s">
        <v>82</v>
      </c>
      <c r="J51" s="8"/>
      <c r="K51" s="8"/>
    </row>
    <row r="52" customFormat="false" ht="23.85" hidden="false" customHeight="false" outlineLevel="0" collapsed="false">
      <c r="A52" s="5" t="s">
        <v>274</v>
      </c>
      <c r="B52" s="6" t="s">
        <v>315</v>
      </c>
      <c r="C52" s="5" t="s">
        <v>316</v>
      </c>
      <c r="D52" s="5" t="s">
        <v>317</v>
      </c>
      <c r="E52" s="5" t="s">
        <v>318</v>
      </c>
      <c r="F52" s="5" t="s">
        <v>319</v>
      </c>
      <c r="G52" s="5" t="s">
        <v>52</v>
      </c>
      <c r="H52" s="5" t="s">
        <v>320</v>
      </c>
      <c r="I52" s="7" t="s">
        <v>54</v>
      </c>
      <c r="J52" s="8"/>
      <c r="K52" s="8"/>
    </row>
    <row r="53" customFormat="false" ht="23.85" hidden="false" customHeight="false" outlineLevel="0" collapsed="false">
      <c r="A53" s="5" t="s">
        <v>274</v>
      </c>
      <c r="B53" s="6" t="s">
        <v>321</v>
      </c>
      <c r="C53" s="5" t="s">
        <v>322</v>
      </c>
      <c r="D53" s="5" t="s">
        <v>323</v>
      </c>
      <c r="E53" s="5" t="s">
        <v>324</v>
      </c>
      <c r="F53" s="5" t="s">
        <v>325</v>
      </c>
      <c r="G53" s="5" t="s">
        <v>52</v>
      </c>
      <c r="H53" s="5" t="s">
        <v>326</v>
      </c>
      <c r="I53" s="9" t="s">
        <v>82</v>
      </c>
      <c r="J53" s="8"/>
      <c r="K53" s="8"/>
    </row>
    <row r="54" customFormat="false" ht="23.85" hidden="false" customHeight="false" outlineLevel="0" collapsed="false">
      <c r="A54" s="5" t="s">
        <v>327</v>
      </c>
      <c r="B54" s="6" t="s">
        <v>328</v>
      </c>
      <c r="C54" s="5" t="s">
        <v>69</v>
      </c>
      <c r="D54" s="5" t="s">
        <v>329</v>
      </c>
      <c r="E54" s="5" t="s">
        <v>330</v>
      </c>
      <c r="F54" s="5" t="s">
        <v>72</v>
      </c>
      <c r="G54" s="5" t="s">
        <v>52</v>
      </c>
      <c r="H54" s="5" t="s">
        <v>180</v>
      </c>
      <c r="I54" s="7" t="s">
        <v>54</v>
      </c>
      <c r="J54" s="8"/>
      <c r="K54" s="8"/>
    </row>
    <row r="55" customFormat="false" ht="23.85" hidden="false" customHeight="false" outlineLevel="0" collapsed="false">
      <c r="A55" s="5" t="s">
        <v>327</v>
      </c>
      <c r="B55" s="6" t="s">
        <v>331</v>
      </c>
      <c r="C55" s="5" t="s">
        <v>332</v>
      </c>
      <c r="D55" s="5" t="s">
        <v>333</v>
      </c>
      <c r="E55" s="5" t="s">
        <v>334</v>
      </c>
      <c r="F55" s="5" t="s">
        <v>169</v>
      </c>
      <c r="G55" s="5" t="s">
        <v>52</v>
      </c>
      <c r="H55" s="5" t="s">
        <v>335</v>
      </c>
      <c r="I55" s="7" t="s">
        <v>54</v>
      </c>
      <c r="J55" s="8"/>
      <c r="K55" s="8"/>
    </row>
    <row r="56" customFormat="false" ht="23.85" hidden="false" customHeight="false" outlineLevel="0" collapsed="false">
      <c r="A56" s="5" t="s">
        <v>327</v>
      </c>
      <c r="B56" s="6" t="s">
        <v>336</v>
      </c>
      <c r="C56" s="5" t="s">
        <v>337</v>
      </c>
      <c r="D56" s="5" t="s">
        <v>338</v>
      </c>
      <c r="E56" s="5" t="s">
        <v>339</v>
      </c>
      <c r="F56" s="5" t="s">
        <v>169</v>
      </c>
      <c r="G56" s="5" t="s">
        <v>52</v>
      </c>
      <c r="H56" s="5" t="s">
        <v>67</v>
      </c>
      <c r="I56" s="7" t="s">
        <v>54</v>
      </c>
      <c r="J56" s="8"/>
      <c r="K56" s="8"/>
    </row>
    <row r="57" customFormat="false" ht="23.85" hidden="false" customHeight="false" outlineLevel="0" collapsed="false">
      <c r="A57" s="5" t="s">
        <v>327</v>
      </c>
      <c r="B57" s="6" t="s">
        <v>340</v>
      </c>
      <c r="C57" s="5" t="s">
        <v>341</v>
      </c>
      <c r="D57" s="5" t="s">
        <v>342</v>
      </c>
      <c r="E57" s="5" t="s">
        <v>343</v>
      </c>
      <c r="F57" s="5" t="s">
        <v>169</v>
      </c>
      <c r="G57" s="5" t="s">
        <v>52</v>
      </c>
      <c r="H57" s="5" t="s">
        <v>344</v>
      </c>
      <c r="I57" s="7" t="s">
        <v>54</v>
      </c>
      <c r="J57" s="8"/>
      <c r="K57" s="8"/>
    </row>
    <row r="58" customFormat="false" ht="23.85" hidden="false" customHeight="false" outlineLevel="0" collapsed="false">
      <c r="A58" s="5" t="s">
        <v>327</v>
      </c>
      <c r="B58" s="6" t="s">
        <v>345</v>
      </c>
      <c r="C58" s="5" t="s">
        <v>346</v>
      </c>
      <c r="D58" s="5" t="s">
        <v>347</v>
      </c>
      <c r="E58" s="5" t="s">
        <v>348</v>
      </c>
      <c r="F58" s="5" t="s">
        <v>169</v>
      </c>
      <c r="G58" s="5" t="s">
        <v>52</v>
      </c>
      <c r="H58" s="5" t="s">
        <v>349</v>
      </c>
      <c r="I58" s="9" t="s">
        <v>82</v>
      </c>
      <c r="J58" s="8"/>
      <c r="K58" s="8"/>
    </row>
    <row r="59" customFormat="false" ht="23.85" hidden="false" customHeight="false" outlineLevel="0" collapsed="false">
      <c r="A59" s="5" t="s">
        <v>327</v>
      </c>
      <c r="B59" s="6" t="s">
        <v>350</v>
      </c>
      <c r="C59" s="5" t="s">
        <v>351</v>
      </c>
      <c r="D59" s="5" t="s">
        <v>352</v>
      </c>
      <c r="E59" s="5" t="s">
        <v>353</v>
      </c>
      <c r="F59" s="5" t="s">
        <v>169</v>
      </c>
      <c r="G59" s="5" t="s">
        <v>52</v>
      </c>
      <c r="H59" s="5" t="s">
        <v>354</v>
      </c>
      <c r="I59" s="9" t="s">
        <v>82</v>
      </c>
      <c r="J59" s="8"/>
      <c r="K59" s="8"/>
    </row>
    <row r="60" customFormat="false" ht="23.85" hidden="false" customHeight="false" outlineLevel="0" collapsed="false">
      <c r="A60" s="5" t="s">
        <v>327</v>
      </c>
      <c r="B60" s="6" t="s">
        <v>355</v>
      </c>
      <c r="C60" s="5" t="s">
        <v>356</v>
      </c>
      <c r="D60" s="5" t="s">
        <v>357</v>
      </c>
      <c r="E60" s="5" t="s">
        <v>358</v>
      </c>
      <c r="F60" s="5" t="s">
        <v>169</v>
      </c>
      <c r="G60" s="5" t="s">
        <v>52</v>
      </c>
      <c r="H60" s="5" t="s">
        <v>359</v>
      </c>
      <c r="I60" s="9" t="s">
        <v>82</v>
      </c>
      <c r="J60" s="8"/>
      <c r="K60" s="8"/>
    </row>
    <row r="61" customFormat="false" ht="23.85" hidden="false" customHeight="false" outlineLevel="0" collapsed="false">
      <c r="A61" s="5" t="s">
        <v>327</v>
      </c>
      <c r="B61" s="6" t="s">
        <v>360</v>
      </c>
      <c r="C61" s="5" t="s">
        <v>361</v>
      </c>
      <c r="D61" s="5" t="s">
        <v>362</v>
      </c>
      <c r="E61" s="5" t="s">
        <v>363</v>
      </c>
      <c r="F61" s="5" t="s">
        <v>364</v>
      </c>
      <c r="G61" s="5" t="s">
        <v>52</v>
      </c>
      <c r="H61" s="5" t="s">
        <v>180</v>
      </c>
      <c r="I61" s="10" t="s">
        <v>160</v>
      </c>
      <c r="J61" s="8"/>
      <c r="K61" s="8"/>
    </row>
    <row r="62" customFormat="false" ht="23.85" hidden="false" customHeight="false" outlineLevel="0" collapsed="false">
      <c r="A62" s="5" t="s">
        <v>327</v>
      </c>
      <c r="B62" s="6" t="s">
        <v>365</v>
      </c>
      <c r="C62" s="5" t="s">
        <v>366</v>
      </c>
      <c r="D62" s="5" t="s">
        <v>367</v>
      </c>
      <c r="E62" s="5" t="s">
        <v>368</v>
      </c>
      <c r="F62" s="5" t="s">
        <v>369</v>
      </c>
      <c r="G62" s="5" t="s">
        <v>52</v>
      </c>
      <c r="H62" s="5" t="s">
        <v>370</v>
      </c>
      <c r="I62" s="9" t="s">
        <v>82</v>
      </c>
      <c r="J62" s="8"/>
      <c r="K62" s="8"/>
    </row>
    <row r="63" customFormat="false" ht="23.85" hidden="false" customHeight="false" outlineLevel="0" collapsed="false">
      <c r="A63" s="5" t="s">
        <v>327</v>
      </c>
      <c r="B63" s="6" t="s">
        <v>371</v>
      </c>
      <c r="C63" s="5" t="s">
        <v>372</v>
      </c>
      <c r="D63" s="5" t="s">
        <v>373</v>
      </c>
      <c r="E63" s="5" t="s">
        <v>374</v>
      </c>
      <c r="F63" s="5" t="s">
        <v>169</v>
      </c>
      <c r="G63" s="5" t="s">
        <v>52</v>
      </c>
      <c r="H63" s="5" t="s">
        <v>375</v>
      </c>
      <c r="I63" s="9" t="s">
        <v>82</v>
      </c>
      <c r="J63" s="8"/>
      <c r="K63" s="8"/>
    </row>
    <row r="64" customFormat="false" ht="23.85" hidden="false" customHeight="false" outlineLevel="0" collapsed="false">
      <c r="A64" s="5" t="s">
        <v>327</v>
      </c>
      <c r="B64" s="6" t="s">
        <v>376</v>
      </c>
      <c r="C64" s="5" t="s">
        <v>377</v>
      </c>
      <c r="D64" s="5" t="s">
        <v>378</v>
      </c>
      <c r="E64" s="5" t="s">
        <v>379</v>
      </c>
      <c r="F64" s="5" t="s">
        <v>380</v>
      </c>
      <c r="G64" s="5" t="s">
        <v>381</v>
      </c>
      <c r="H64" s="5" t="s">
        <v>304</v>
      </c>
      <c r="I64" s="10" t="s">
        <v>160</v>
      </c>
      <c r="J64" s="8"/>
      <c r="K64" s="8"/>
    </row>
    <row r="65" customFormat="false" ht="15" hidden="false" customHeight="false" outlineLevel="0" collapsed="false">
      <c r="A65" s="5" t="s">
        <v>382</v>
      </c>
      <c r="B65" s="6" t="s">
        <v>383</v>
      </c>
      <c r="C65" s="5" t="s">
        <v>384</v>
      </c>
      <c r="D65" s="5" t="s">
        <v>385</v>
      </c>
      <c r="E65" s="5" t="s">
        <v>386</v>
      </c>
      <c r="F65" s="5" t="s">
        <v>93</v>
      </c>
      <c r="G65" s="5" t="s">
        <v>52</v>
      </c>
      <c r="H65" s="5" t="s">
        <v>180</v>
      </c>
      <c r="I65" s="9" t="s">
        <v>82</v>
      </c>
      <c r="J65" s="8"/>
      <c r="K65" s="8"/>
    </row>
    <row r="66" customFormat="false" ht="15" hidden="false" customHeight="false" outlineLevel="0" collapsed="false">
      <c r="A66" s="5" t="s">
        <v>382</v>
      </c>
      <c r="B66" s="6" t="s">
        <v>387</v>
      </c>
      <c r="C66" s="5" t="s">
        <v>388</v>
      </c>
      <c r="D66" s="5" t="s">
        <v>389</v>
      </c>
      <c r="E66" s="5" t="s">
        <v>92</v>
      </c>
      <c r="F66" s="5" t="s">
        <v>169</v>
      </c>
      <c r="G66" s="5" t="s">
        <v>52</v>
      </c>
      <c r="H66" s="5" t="s">
        <v>370</v>
      </c>
      <c r="I66" s="7" t="s">
        <v>54</v>
      </c>
      <c r="J66" s="8"/>
      <c r="K66" s="8"/>
    </row>
    <row r="67" customFormat="false" ht="15" hidden="false" customHeight="false" outlineLevel="0" collapsed="false">
      <c r="A67" s="5" t="s">
        <v>382</v>
      </c>
      <c r="B67" s="6" t="s">
        <v>390</v>
      </c>
      <c r="C67" s="5" t="s">
        <v>391</v>
      </c>
      <c r="D67" s="5" t="s">
        <v>392</v>
      </c>
      <c r="E67" s="5" t="s">
        <v>92</v>
      </c>
      <c r="F67" s="5" t="s">
        <v>169</v>
      </c>
      <c r="G67" s="5" t="s">
        <v>52</v>
      </c>
      <c r="H67" s="5" t="s">
        <v>180</v>
      </c>
      <c r="I67" s="9" t="s">
        <v>82</v>
      </c>
      <c r="J67" s="8"/>
      <c r="K67" s="8"/>
    </row>
    <row r="68" customFormat="false" ht="23.85" hidden="false" customHeight="false" outlineLevel="0" collapsed="false">
      <c r="A68" s="5" t="s">
        <v>382</v>
      </c>
      <c r="B68" s="6" t="s">
        <v>393</v>
      </c>
      <c r="C68" s="5" t="s">
        <v>394</v>
      </c>
      <c r="D68" s="5" t="s">
        <v>395</v>
      </c>
      <c r="E68" s="5" t="s">
        <v>396</v>
      </c>
      <c r="F68" s="5" t="s">
        <v>169</v>
      </c>
      <c r="G68" s="5" t="s">
        <v>52</v>
      </c>
      <c r="H68" s="5" t="s">
        <v>126</v>
      </c>
      <c r="I68" s="9" t="s">
        <v>82</v>
      </c>
      <c r="J68" s="8"/>
      <c r="K68" s="8"/>
    </row>
    <row r="69" customFormat="false" ht="15" hidden="false" customHeight="false" outlineLevel="0" collapsed="false">
      <c r="A69" s="5" t="s">
        <v>382</v>
      </c>
      <c r="B69" s="6" t="s">
        <v>397</v>
      </c>
      <c r="C69" s="5" t="s">
        <v>398</v>
      </c>
      <c r="D69" s="5" t="s">
        <v>399</v>
      </c>
      <c r="E69" s="5" t="s">
        <v>400</v>
      </c>
      <c r="F69" s="5" t="s">
        <v>169</v>
      </c>
      <c r="G69" s="5" t="s">
        <v>52</v>
      </c>
      <c r="H69" s="5" t="s">
        <v>401</v>
      </c>
      <c r="I69" s="10" t="s">
        <v>160</v>
      </c>
      <c r="J69" s="8"/>
      <c r="K69" s="8"/>
    </row>
    <row r="70" customFormat="false" ht="15" hidden="false" customHeight="false" outlineLevel="0" collapsed="false">
      <c r="A70" s="5" t="s">
        <v>382</v>
      </c>
      <c r="B70" s="6" t="s">
        <v>402</v>
      </c>
      <c r="C70" s="5" t="s">
        <v>403</v>
      </c>
      <c r="D70" s="5" t="s">
        <v>404</v>
      </c>
      <c r="E70" s="5" t="s">
        <v>405</v>
      </c>
      <c r="F70" s="5" t="s">
        <v>406</v>
      </c>
      <c r="G70" s="5" t="s">
        <v>52</v>
      </c>
      <c r="H70" s="5" t="s">
        <v>180</v>
      </c>
      <c r="I70" s="9" t="s">
        <v>82</v>
      </c>
      <c r="J70" s="8"/>
      <c r="K70" s="8"/>
    </row>
    <row r="71" customFormat="false" ht="23.85" hidden="false" customHeight="false" outlineLevel="0" collapsed="false">
      <c r="A71" s="5" t="s">
        <v>382</v>
      </c>
      <c r="B71" s="6" t="s">
        <v>407</v>
      </c>
      <c r="C71" s="5" t="s">
        <v>408</v>
      </c>
      <c r="D71" s="5" t="s">
        <v>409</v>
      </c>
      <c r="E71" s="5" t="s">
        <v>410</v>
      </c>
      <c r="F71" s="5" t="s">
        <v>411</v>
      </c>
      <c r="G71" s="5" t="s">
        <v>52</v>
      </c>
      <c r="H71" s="5" t="s">
        <v>412</v>
      </c>
      <c r="I71" s="9" t="s">
        <v>82</v>
      </c>
      <c r="J71" s="8"/>
      <c r="K71" s="8"/>
    </row>
    <row r="72" customFormat="false" ht="23.85" hidden="false" customHeight="false" outlineLevel="0" collapsed="false">
      <c r="A72" s="5" t="s">
        <v>382</v>
      </c>
      <c r="B72" s="6" t="s">
        <v>413</v>
      </c>
      <c r="C72" s="5" t="s">
        <v>414</v>
      </c>
      <c r="D72" s="5" t="s">
        <v>415</v>
      </c>
      <c r="E72" s="5" t="s">
        <v>416</v>
      </c>
      <c r="F72" s="5" t="s">
        <v>417</v>
      </c>
      <c r="G72" s="5" t="s">
        <v>52</v>
      </c>
      <c r="H72" s="5" t="s">
        <v>418</v>
      </c>
      <c r="I72" s="10" t="s">
        <v>160</v>
      </c>
      <c r="J72" s="8"/>
      <c r="K72" s="8"/>
    </row>
    <row r="73" customFormat="false" ht="35.05" hidden="false" customHeight="false" outlineLevel="0" collapsed="false">
      <c r="A73" s="5" t="s">
        <v>382</v>
      </c>
      <c r="B73" s="6" t="s">
        <v>419</v>
      </c>
      <c r="C73" s="5" t="s">
        <v>420</v>
      </c>
      <c r="D73" s="5" t="s">
        <v>421</v>
      </c>
      <c r="E73" s="5" t="s">
        <v>422</v>
      </c>
      <c r="F73" s="5" t="s">
        <v>423</v>
      </c>
      <c r="G73" s="5" t="s">
        <v>52</v>
      </c>
      <c r="H73" s="5" t="s">
        <v>126</v>
      </c>
      <c r="I73" s="9" t="s">
        <v>82</v>
      </c>
      <c r="J73" s="8"/>
      <c r="K73" s="8"/>
    </row>
    <row r="74" customFormat="false" ht="35.05" hidden="false" customHeight="false" outlineLevel="0" collapsed="false">
      <c r="A74" s="5" t="s">
        <v>424</v>
      </c>
      <c r="B74" s="6" t="s">
        <v>425</v>
      </c>
      <c r="C74" s="5" t="s">
        <v>426</v>
      </c>
      <c r="D74" s="5" t="s">
        <v>427</v>
      </c>
      <c r="E74" s="5" t="s">
        <v>428</v>
      </c>
      <c r="F74" s="5" t="s">
        <v>429</v>
      </c>
      <c r="G74" s="5" t="s">
        <v>381</v>
      </c>
      <c r="H74" s="5" t="s">
        <v>430</v>
      </c>
      <c r="I74" s="9" t="s">
        <v>82</v>
      </c>
      <c r="J74" s="8"/>
      <c r="K74" s="8"/>
    </row>
    <row r="75" customFormat="false" ht="35.05" hidden="false" customHeight="false" outlineLevel="0" collapsed="false">
      <c r="A75" s="5" t="s">
        <v>424</v>
      </c>
      <c r="B75" s="6" t="s">
        <v>431</v>
      </c>
      <c r="C75" s="5" t="s">
        <v>432</v>
      </c>
      <c r="D75" s="5" t="s">
        <v>433</v>
      </c>
      <c r="E75" s="5" t="s">
        <v>434</v>
      </c>
      <c r="F75" s="5" t="s">
        <v>435</v>
      </c>
      <c r="G75" s="5" t="s">
        <v>381</v>
      </c>
      <c r="H75" s="5" t="s">
        <v>436</v>
      </c>
      <c r="I75" s="9" t="s">
        <v>82</v>
      </c>
      <c r="J75" s="8"/>
      <c r="K75" s="8"/>
    </row>
    <row r="76" customFormat="false" ht="23.85" hidden="false" customHeight="false" outlineLevel="0" collapsed="false">
      <c r="A76" s="5" t="s">
        <v>424</v>
      </c>
      <c r="B76" s="6" t="s">
        <v>437</v>
      </c>
      <c r="C76" s="5" t="s">
        <v>438</v>
      </c>
      <c r="D76" s="5" t="s">
        <v>439</v>
      </c>
      <c r="E76" s="5" t="s">
        <v>440</v>
      </c>
      <c r="F76" s="5" t="s">
        <v>441</v>
      </c>
      <c r="G76" s="5" t="s">
        <v>381</v>
      </c>
      <c r="H76" s="5" t="s">
        <v>442</v>
      </c>
      <c r="I76" s="9" t="s">
        <v>82</v>
      </c>
      <c r="J76" s="8"/>
      <c r="K76" s="8"/>
    </row>
    <row r="77" customFormat="false" ht="23.85" hidden="false" customHeight="false" outlineLevel="0" collapsed="false">
      <c r="A77" s="5" t="s">
        <v>424</v>
      </c>
      <c r="B77" s="6" t="s">
        <v>443</v>
      </c>
      <c r="C77" s="5" t="s">
        <v>444</v>
      </c>
      <c r="D77" s="5" t="s">
        <v>445</v>
      </c>
      <c r="E77" s="5" t="s">
        <v>446</v>
      </c>
      <c r="F77" s="5" t="s">
        <v>447</v>
      </c>
      <c r="G77" s="5" t="s">
        <v>381</v>
      </c>
      <c r="H77" s="5" t="s">
        <v>448</v>
      </c>
      <c r="I77" s="10" t="s">
        <v>160</v>
      </c>
      <c r="J77" s="8"/>
      <c r="K77" s="8"/>
    </row>
    <row r="78" customFormat="false" ht="23.85" hidden="false" customHeight="false" outlineLevel="0" collapsed="false">
      <c r="A78" s="5" t="s">
        <v>424</v>
      </c>
      <c r="B78" s="6" t="s">
        <v>449</v>
      </c>
      <c r="C78" s="5" t="s">
        <v>450</v>
      </c>
      <c r="D78" s="5" t="s">
        <v>451</v>
      </c>
      <c r="E78" s="5" t="s">
        <v>452</v>
      </c>
      <c r="F78" s="5" t="s">
        <v>453</v>
      </c>
      <c r="G78" s="5" t="s">
        <v>381</v>
      </c>
      <c r="H78" s="5" t="s">
        <v>454</v>
      </c>
      <c r="I78" s="10" t="s">
        <v>160</v>
      </c>
      <c r="J78" s="8"/>
      <c r="K78" s="8"/>
    </row>
    <row r="79" customFormat="false" ht="23.85" hidden="false" customHeight="false" outlineLevel="0" collapsed="false">
      <c r="A79" s="5" t="s">
        <v>424</v>
      </c>
      <c r="B79" s="6" t="s">
        <v>455</v>
      </c>
      <c r="C79" s="5" t="s">
        <v>456</v>
      </c>
      <c r="D79" s="5" t="s">
        <v>457</v>
      </c>
      <c r="E79" s="5" t="s">
        <v>458</v>
      </c>
      <c r="F79" s="5" t="s">
        <v>453</v>
      </c>
      <c r="G79" s="5" t="s">
        <v>381</v>
      </c>
      <c r="H79" s="5" t="s">
        <v>401</v>
      </c>
      <c r="I79" s="10" t="s">
        <v>160</v>
      </c>
      <c r="J79" s="8"/>
      <c r="K79" s="8"/>
    </row>
  </sheetData>
  <autoFilter ref="A1:K79"/>
  <dataValidations count="2">
    <dataValidation allowBlank="true" errorStyle="stop" operator="between" showDropDown="false" showErrorMessage="false" showInputMessage="false" sqref="J2:J79" type="list">
      <formula1>"Manter,Ajustar,Cortar"</formula1>
      <formula2>0</formula2>
    </dataValidation>
    <dataValidation allowBlank="false" errorStyle="stop" operator="between" showDropDown="false" showErrorMessage="false" showInputMessage="false" sqref="I2:I79" type="list">
      <formula1>"Essencial,Importante,Complementar"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11" t="s">
        <v>35</v>
      </c>
      <c r="B1" s="12" t="s">
        <v>459</v>
      </c>
      <c r="C1" s="12" t="s">
        <v>54</v>
      </c>
      <c r="D1" s="12" t="s">
        <v>82</v>
      </c>
      <c r="E1" s="12" t="s">
        <v>160</v>
      </c>
      <c r="F1" s="12" t="s">
        <v>460</v>
      </c>
      <c r="G1" s="12" t="s">
        <v>461</v>
      </c>
      <c r="H1" s="12" t="s">
        <v>462</v>
      </c>
      <c r="I1" s="12" t="s">
        <v>463</v>
      </c>
    </row>
    <row r="2" customFormat="false" ht="15" hidden="false" customHeight="false" outlineLevel="0" collapsed="false">
      <c r="A2" s="13" t="s">
        <v>46</v>
      </c>
      <c r="B2" s="14" t="n">
        <f aca="false">COUNTIF(Indicadores!$A$2:$A$79,A2)</f>
        <v>11</v>
      </c>
      <c r="C2" s="14" t="n">
        <f aca="false">COUNTIFS(Indicadores!$A$2:$A$79,$A2,Indicadores!$I$2:$I$79,"Essencial")</f>
        <v>7</v>
      </c>
      <c r="D2" s="14" t="n">
        <f aca="false">COUNTIFS(Indicadores!$A$2:$A$79,$A2,Indicadores!$I$2:$I$79,"Importante")</f>
        <v>4</v>
      </c>
      <c r="E2" s="14" t="n">
        <f aca="false">COUNTIFS(Indicadores!$A$2:$A$79,$A2,Indicadores!$I$2:$I$79,"Complementar")</f>
        <v>0</v>
      </c>
      <c r="F2" s="14" t="n">
        <f aca="false">COUNTIFS(Indicadores!$A$2:$A$79,$A2,Indicadores!$J$2:$J$79,"Manter")</f>
        <v>0</v>
      </c>
      <c r="G2" s="14" t="n">
        <f aca="false">COUNTIFS(Indicadores!$A$2:$A$79,$A2,Indicadores!$J$2:$J$79,"Ajustar")</f>
        <v>0</v>
      </c>
      <c r="H2" s="14" t="n">
        <f aca="false">COUNTIFS(Indicadores!$A$2:$A$79,$A2,Indicadores!$J$2:$J$79,"Cortar")</f>
        <v>0</v>
      </c>
      <c r="I2" s="14" t="n">
        <f aca="false">B2-F2-G2-H2</f>
        <v>11</v>
      </c>
    </row>
    <row r="3" customFormat="false" ht="15" hidden="false" customHeight="false" outlineLevel="0" collapsed="false">
      <c r="A3" s="13" t="s">
        <v>111</v>
      </c>
      <c r="B3" s="14" t="n">
        <f aca="false">COUNTIF(Indicadores!$A$2:$A$79,A3)</f>
        <v>9</v>
      </c>
      <c r="C3" s="14" t="n">
        <f aca="false">COUNTIFS(Indicadores!$A$2:$A$79,$A3,Indicadores!$I$2:$I$79,"Essencial")</f>
        <v>4</v>
      </c>
      <c r="D3" s="14" t="n">
        <f aca="false">COUNTIFS(Indicadores!$A$2:$A$79,$A3,Indicadores!$I$2:$I$79,"Importante")</f>
        <v>4</v>
      </c>
      <c r="E3" s="14" t="n">
        <f aca="false">COUNTIFS(Indicadores!$A$2:$A$79,$A3,Indicadores!$I$2:$I$79,"Complementar")</f>
        <v>1</v>
      </c>
      <c r="F3" s="14" t="n">
        <f aca="false">COUNTIFS(Indicadores!$A$2:$A$79,$A3,Indicadores!$J$2:$J$79,"Manter")</f>
        <v>0</v>
      </c>
      <c r="G3" s="14" t="n">
        <f aca="false">COUNTIFS(Indicadores!$A$2:$A$79,$A3,Indicadores!$J$2:$J$79,"Ajustar")</f>
        <v>0</v>
      </c>
      <c r="H3" s="14" t="n">
        <f aca="false">COUNTIFS(Indicadores!$A$2:$A$79,$A3,Indicadores!$J$2:$J$79,"Cortar")</f>
        <v>0</v>
      </c>
      <c r="I3" s="14" t="n">
        <f aca="false">B3-F3-G3-H3</f>
        <v>9</v>
      </c>
    </row>
    <row r="4" customFormat="false" ht="15" hidden="false" customHeight="false" outlineLevel="0" collapsed="false">
      <c r="A4" s="13" t="s">
        <v>161</v>
      </c>
      <c r="B4" s="14" t="n">
        <f aca="false">COUNTIF(Indicadores!$A$2:$A$79,A4)</f>
        <v>12</v>
      </c>
      <c r="C4" s="14" t="n">
        <f aca="false">COUNTIFS(Indicadores!$A$2:$A$79,$A4,Indicadores!$I$2:$I$79,"Essencial")</f>
        <v>7</v>
      </c>
      <c r="D4" s="14" t="n">
        <f aca="false">COUNTIFS(Indicadores!$A$2:$A$79,$A4,Indicadores!$I$2:$I$79,"Importante")</f>
        <v>4</v>
      </c>
      <c r="E4" s="14" t="n">
        <f aca="false">COUNTIFS(Indicadores!$A$2:$A$79,$A4,Indicadores!$I$2:$I$79,"Complementar")</f>
        <v>1</v>
      </c>
      <c r="F4" s="14" t="n">
        <f aca="false">COUNTIFS(Indicadores!$A$2:$A$79,$A4,Indicadores!$J$2:$J$79,"Manter")</f>
        <v>0</v>
      </c>
      <c r="G4" s="14" t="n">
        <f aca="false">COUNTIFS(Indicadores!$A$2:$A$79,$A4,Indicadores!$J$2:$J$79,"Ajustar")</f>
        <v>0</v>
      </c>
      <c r="H4" s="14" t="n">
        <f aca="false">COUNTIFS(Indicadores!$A$2:$A$79,$A4,Indicadores!$J$2:$J$79,"Cortar")</f>
        <v>0</v>
      </c>
      <c r="I4" s="14" t="n">
        <f aca="false">B4-F4-G4-H4</f>
        <v>12</v>
      </c>
    </row>
    <row r="5" customFormat="false" ht="15" hidden="false" customHeight="false" outlineLevel="0" collapsed="false">
      <c r="A5" s="13" t="s">
        <v>220</v>
      </c>
      <c r="B5" s="14" t="n">
        <f aca="false">COUNTIF(Indicadores!$A$2:$A$79,A5)</f>
        <v>9</v>
      </c>
      <c r="C5" s="14" t="n">
        <f aca="false">COUNTIFS(Indicadores!$A$2:$A$79,$A5,Indicadores!$I$2:$I$79,"Essencial")</f>
        <v>3</v>
      </c>
      <c r="D5" s="14" t="n">
        <f aca="false">COUNTIFS(Indicadores!$A$2:$A$79,$A5,Indicadores!$I$2:$I$79,"Importante")</f>
        <v>5</v>
      </c>
      <c r="E5" s="14" t="n">
        <f aca="false">COUNTIFS(Indicadores!$A$2:$A$79,$A5,Indicadores!$I$2:$I$79,"Complementar")</f>
        <v>1</v>
      </c>
      <c r="F5" s="14" t="n">
        <f aca="false">COUNTIFS(Indicadores!$A$2:$A$79,$A5,Indicadores!$J$2:$J$79,"Manter")</f>
        <v>0</v>
      </c>
      <c r="G5" s="14" t="n">
        <f aca="false">COUNTIFS(Indicadores!$A$2:$A$79,$A5,Indicadores!$J$2:$J$79,"Ajustar")</f>
        <v>0</v>
      </c>
      <c r="H5" s="14" t="n">
        <f aca="false">COUNTIFS(Indicadores!$A$2:$A$79,$A5,Indicadores!$J$2:$J$79,"Cortar")</f>
        <v>0</v>
      </c>
      <c r="I5" s="14" t="n">
        <f aca="false">B5-F5-G5-H5</f>
        <v>9</v>
      </c>
    </row>
    <row r="6" customFormat="false" ht="15" hidden="false" customHeight="false" outlineLevel="0" collapsed="false">
      <c r="A6" s="13" t="s">
        <v>274</v>
      </c>
      <c r="B6" s="14" t="n">
        <f aca="false">COUNTIF(Indicadores!$A$2:$A$79,A6)</f>
        <v>11</v>
      </c>
      <c r="C6" s="14" t="n">
        <f aca="false">COUNTIFS(Indicadores!$A$2:$A$79,$A6,Indicadores!$I$2:$I$79,"Essencial")</f>
        <v>4</v>
      </c>
      <c r="D6" s="14" t="n">
        <f aca="false">COUNTIFS(Indicadores!$A$2:$A$79,$A6,Indicadores!$I$2:$I$79,"Importante")</f>
        <v>5</v>
      </c>
      <c r="E6" s="14" t="n">
        <f aca="false">COUNTIFS(Indicadores!$A$2:$A$79,$A6,Indicadores!$I$2:$I$79,"Complementar")</f>
        <v>2</v>
      </c>
      <c r="F6" s="14" t="n">
        <f aca="false">COUNTIFS(Indicadores!$A$2:$A$79,$A6,Indicadores!$J$2:$J$79,"Manter")</f>
        <v>0</v>
      </c>
      <c r="G6" s="14" t="n">
        <f aca="false">COUNTIFS(Indicadores!$A$2:$A$79,$A6,Indicadores!$J$2:$J$79,"Ajustar")</f>
        <v>0</v>
      </c>
      <c r="H6" s="14" t="n">
        <f aca="false">COUNTIFS(Indicadores!$A$2:$A$79,$A6,Indicadores!$J$2:$J$79,"Cortar")</f>
        <v>0</v>
      </c>
      <c r="I6" s="14" t="n">
        <f aca="false">B6-F6-G6-H6</f>
        <v>11</v>
      </c>
    </row>
    <row r="7" customFormat="false" ht="15" hidden="false" customHeight="false" outlineLevel="0" collapsed="false">
      <c r="A7" s="13" t="s">
        <v>327</v>
      </c>
      <c r="B7" s="14" t="n">
        <f aca="false">COUNTIF(Indicadores!$A$2:$A$79,A7)</f>
        <v>11</v>
      </c>
      <c r="C7" s="14" t="n">
        <f aca="false">COUNTIFS(Indicadores!$A$2:$A$79,$A7,Indicadores!$I$2:$I$79,"Essencial")</f>
        <v>4</v>
      </c>
      <c r="D7" s="14" t="n">
        <f aca="false">COUNTIFS(Indicadores!$A$2:$A$79,$A7,Indicadores!$I$2:$I$79,"Importante")</f>
        <v>5</v>
      </c>
      <c r="E7" s="14" t="n">
        <f aca="false">COUNTIFS(Indicadores!$A$2:$A$79,$A7,Indicadores!$I$2:$I$79,"Complementar")</f>
        <v>2</v>
      </c>
      <c r="F7" s="14" t="n">
        <f aca="false">COUNTIFS(Indicadores!$A$2:$A$79,$A7,Indicadores!$J$2:$J$79,"Manter")</f>
        <v>0</v>
      </c>
      <c r="G7" s="14" t="n">
        <f aca="false">COUNTIFS(Indicadores!$A$2:$A$79,$A7,Indicadores!$J$2:$J$79,"Ajustar")</f>
        <v>0</v>
      </c>
      <c r="H7" s="14" t="n">
        <f aca="false">COUNTIFS(Indicadores!$A$2:$A$79,$A7,Indicadores!$J$2:$J$79,"Cortar")</f>
        <v>0</v>
      </c>
      <c r="I7" s="14" t="n">
        <f aca="false">B7-F7-G7-H7</f>
        <v>11</v>
      </c>
    </row>
    <row r="8" customFormat="false" ht="15" hidden="false" customHeight="false" outlineLevel="0" collapsed="false">
      <c r="A8" s="13" t="s">
        <v>382</v>
      </c>
      <c r="B8" s="14" t="n">
        <f aca="false">COUNTIF(Indicadores!$A$2:$A$79,A8)</f>
        <v>9</v>
      </c>
      <c r="C8" s="14" t="n">
        <f aca="false">COUNTIFS(Indicadores!$A$2:$A$79,$A8,Indicadores!$I$2:$I$79,"Essencial")</f>
        <v>1</v>
      </c>
      <c r="D8" s="14" t="n">
        <f aca="false">COUNTIFS(Indicadores!$A$2:$A$79,$A8,Indicadores!$I$2:$I$79,"Importante")</f>
        <v>6</v>
      </c>
      <c r="E8" s="14" t="n">
        <f aca="false">COUNTIFS(Indicadores!$A$2:$A$79,$A8,Indicadores!$I$2:$I$79,"Complementar")</f>
        <v>2</v>
      </c>
      <c r="F8" s="14" t="n">
        <f aca="false">COUNTIFS(Indicadores!$A$2:$A$79,$A8,Indicadores!$J$2:$J$79,"Manter")</f>
        <v>0</v>
      </c>
      <c r="G8" s="14" t="n">
        <f aca="false">COUNTIFS(Indicadores!$A$2:$A$79,$A8,Indicadores!$J$2:$J$79,"Ajustar")</f>
        <v>0</v>
      </c>
      <c r="H8" s="14" t="n">
        <f aca="false">COUNTIFS(Indicadores!$A$2:$A$79,$A8,Indicadores!$J$2:$J$79,"Cortar")</f>
        <v>0</v>
      </c>
      <c r="I8" s="14" t="n">
        <f aca="false">B8-F8-G8-H8</f>
        <v>9</v>
      </c>
    </row>
    <row r="9" customFormat="false" ht="15" hidden="false" customHeight="false" outlineLevel="0" collapsed="false">
      <c r="A9" s="13" t="s">
        <v>424</v>
      </c>
      <c r="B9" s="14" t="n">
        <f aca="false">COUNTIF(Indicadores!$A$2:$A$79,A9)</f>
        <v>6</v>
      </c>
      <c r="C9" s="14" t="n">
        <f aca="false">COUNTIFS(Indicadores!$A$2:$A$79,$A9,Indicadores!$I$2:$I$79,"Essencial")</f>
        <v>0</v>
      </c>
      <c r="D9" s="14" t="n">
        <f aca="false">COUNTIFS(Indicadores!$A$2:$A$79,$A9,Indicadores!$I$2:$I$79,"Importante")</f>
        <v>3</v>
      </c>
      <c r="E9" s="14" t="n">
        <f aca="false">COUNTIFS(Indicadores!$A$2:$A$79,$A9,Indicadores!$I$2:$I$79,"Complementar")</f>
        <v>3</v>
      </c>
      <c r="F9" s="14" t="n">
        <f aca="false">COUNTIFS(Indicadores!$A$2:$A$79,$A9,Indicadores!$J$2:$J$79,"Manter")</f>
        <v>0</v>
      </c>
      <c r="G9" s="14" t="n">
        <f aca="false">COUNTIFS(Indicadores!$A$2:$A$79,$A9,Indicadores!$J$2:$J$79,"Ajustar")</f>
        <v>0</v>
      </c>
      <c r="H9" s="14" t="n">
        <f aca="false">COUNTIFS(Indicadores!$A$2:$A$79,$A9,Indicadores!$J$2:$J$79,"Cortar")</f>
        <v>0</v>
      </c>
      <c r="I9" s="14" t="n">
        <f aca="false">B9-F9-G9-H9</f>
        <v>6</v>
      </c>
    </row>
    <row r="10" customFormat="false" ht="15" hidden="false" customHeight="false" outlineLevel="0" collapsed="false">
      <c r="A10" s="15" t="s">
        <v>464</v>
      </c>
      <c r="B10" s="16" t="n">
        <f aca="false">SUM(B2:B9)</f>
        <v>78</v>
      </c>
      <c r="C10" s="16" t="n">
        <f aca="false">SUM(C2:C9)</f>
        <v>30</v>
      </c>
      <c r="D10" s="16" t="n">
        <f aca="false">SUM(D2:D9)</f>
        <v>36</v>
      </c>
      <c r="E10" s="16" t="n">
        <f aca="false">SUM(E2:E9)</f>
        <v>12</v>
      </c>
      <c r="F10" s="16" t="n">
        <f aca="false">SUM(F2:F9)</f>
        <v>0</v>
      </c>
      <c r="G10" s="16" t="n">
        <f aca="false">SUM(G2:G9)</f>
        <v>0</v>
      </c>
      <c r="H10" s="16" t="n">
        <f aca="false">SUM(H2:H9)</f>
        <v>0</v>
      </c>
      <c r="I10" s="16" t="n">
        <f aca="false">SUM(I2:I9)</f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2026-10-28T20:12:19Z</dcterms:created>
  <dc:creator>openpyxl</dc:creator>
  <dc:description/>
  <dc:language>en-US</dc:language>
  <cp:lastModifiedBy/>
  <dcterms:modified xsi:type="dcterms:W3CDTF">2026-10-28T20:12:19Z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